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3" autoFilterDateGrouping="1"/>
  </bookViews>
  <sheets>
    <sheet xmlns:r="http://schemas.openxmlformats.org/officeDocument/2006/relationships" name="版本交付阶梯图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甘特图-功能点级" sheetId="3" state="visible" r:id="rId3"/>
    <sheet xmlns:r="http://schemas.openxmlformats.org/officeDocument/2006/relationships" name="甘特图-任务级" sheetId="4" state="visible" r:id="rId4"/>
    <sheet xmlns:r="http://schemas.openxmlformats.org/officeDocument/2006/relationships" name="功能点评估（全栈）" sheetId="5" state="visible" r:id="rId5"/>
  </sheets>
  <definedNames>
    <definedName name="_xlnm._FilterDatabase" localSheetId="4" hidden="1">'功能点评估（全栈）'!$A$3:$M$70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##"/>
    <numFmt numFmtId="165" formatCode="d"/>
    <numFmt numFmtId="166" formatCode="m/d"/>
    <numFmt numFmtId="167" formatCode="0.0%"/>
    <numFmt numFmtId="168" formatCode="yyyy-mm-dd h:mm:ss"/>
  </numFmts>
  <fonts count="35">
    <font>
      <name val="宋体"/>
      <charset val="134"/>
      <color theme="1"/>
      <sz val="11"/>
      <scheme val="minor"/>
    </font>
    <font>
      <name val="微软雅黑"/>
      <charset val="134"/>
      <b val="1"/>
      <color rgb="FF1F4E79"/>
      <sz val="13"/>
    </font>
    <font>
      <name val="微软雅黑"/>
      <charset val="134"/>
      <color rgb="FF595959"/>
      <sz val="9"/>
    </font>
    <font>
      <name val="微软雅黑"/>
      <charset val="134"/>
      <b val="1"/>
      <color rgb="FFFFFFFF"/>
      <sz val="10"/>
    </font>
    <font>
      <name val="微软雅黑"/>
      <charset val="134"/>
      <sz val="9"/>
    </font>
    <font>
      <name val="微软雅黑"/>
      <charset val="134"/>
      <b val="1"/>
      <sz val="9"/>
    </font>
    <font>
      <name val="微软雅黑"/>
      <charset val="134"/>
      <b val="1"/>
      <color rgb="FF1F4E79"/>
      <sz val="10"/>
    </font>
    <font>
      <name val="微软雅黑"/>
      <charset val="134"/>
      <b val="1"/>
      <color rgb="FF1F4E79"/>
      <sz val="13"/>
    </font>
    <font>
      <name val="微软雅黑"/>
      <charset val="134"/>
      <color rgb="FF595959"/>
      <sz val="9"/>
    </font>
    <font>
      <name val="微软雅黑"/>
      <charset val="134"/>
      <b val="1"/>
      <color rgb="FFFFFFFF"/>
      <sz val="10"/>
    </font>
    <font>
      <name val="微软雅黑"/>
      <charset val="134"/>
      <b val="1"/>
      <color rgb="FF1F4E79"/>
      <sz val="9"/>
    </font>
    <font>
      <name val="微软雅黑"/>
      <charset val="134"/>
      <color rgb="FF595959"/>
      <sz val="8"/>
    </font>
    <font>
      <name val="微软雅黑"/>
      <charset val="134"/>
      <b val="1"/>
      <color rgb="FFFFFFFF"/>
      <sz val="9"/>
    </font>
    <font>
      <name val="微软雅黑"/>
      <charset val="134"/>
      <b val="1"/>
      <sz val="9"/>
    </font>
    <font>
      <name val="微软雅黑"/>
      <charset val="134"/>
      <sz val="9"/>
    </font>
    <font>
      <name val="微软雅黑"/>
      <charset val="134"/>
      <b val="1"/>
      <color rgb="FF1F4E79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DF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2E6BB0"/>
        <bgColor indexed="64"/>
      </patternFill>
    </fill>
    <fill>
      <patternFill patternType="solid">
        <fgColor rgb="FF4A7C3F"/>
        <bgColor indexed="64"/>
      </patternFill>
    </fill>
    <fill>
      <patternFill patternType="solid">
        <fgColor rgb="FFB365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17" borderId="4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5" applyAlignment="1">
      <alignment vertical="center"/>
    </xf>
    <xf numFmtId="0" fontId="22" fillId="0" borderId="5" applyAlignment="1">
      <alignment vertical="center"/>
    </xf>
    <xf numFmtId="0" fontId="23" fillId="0" borderId="6" applyAlignment="1">
      <alignment vertical="center"/>
    </xf>
    <xf numFmtId="0" fontId="23" fillId="0" borderId="0" applyAlignment="1">
      <alignment vertical="center"/>
    </xf>
    <xf numFmtId="0" fontId="24" fillId="18" borderId="7" applyAlignment="1">
      <alignment vertical="center"/>
    </xf>
    <xf numFmtId="0" fontId="25" fillId="19" borderId="8" applyAlignment="1">
      <alignment vertical="center"/>
    </xf>
    <xf numFmtId="0" fontId="26" fillId="19" borderId="7" applyAlignment="1">
      <alignment vertical="center"/>
    </xf>
    <xf numFmtId="0" fontId="27" fillId="20" borderId="9" applyAlignment="1">
      <alignment vertical="center"/>
    </xf>
    <xf numFmtId="0" fontId="28" fillId="0" borderId="10" applyAlignment="1">
      <alignment vertical="center"/>
    </xf>
    <xf numFmtId="0" fontId="29" fillId="0" borderId="11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33" fillId="36" borderId="0" applyAlignment="1">
      <alignment vertical="center"/>
    </xf>
    <xf numFmtId="0" fontId="34" fillId="37" borderId="0" applyAlignment="1">
      <alignment vertical="center"/>
    </xf>
    <xf numFmtId="0" fontId="34" fillId="38" borderId="0" applyAlignment="1">
      <alignment vertical="center"/>
    </xf>
    <xf numFmtId="0" fontId="33" fillId="39" borderId="0" applyAlignment="1">
      <alignment vertical="center"/>
    </xf>
    <xf numFmtId="0" fontId="33" fillId="40" borderId="0" applyAlignment="1">
      <alignment vertical="center"/>
    </xf>
    <xf numFmtId="0" fontId="34" fillId="41" borderId="0" applyAlignment="1">
      <alignment vertical="center"/>
    </xf>
    <xf numFmtId="0" fontId="34" fillId="42" borderId="0" applyAlignment="1">
      <alignment vertical="center"/>
    </xf>
    <xf numFmtId="0" fontId="33" fillId="43" borderId="0" applyAlignment="1">
      <alignment vertical="center"/>
    </xf>
    <xf numFmtId="0" fontId="33" fillId="44" borderId="0" applyAlignment="1">
      <alignment vertical="center"/>
    </xf>
    <xf numFmtId="0" fontId="34" fillId="45" borderId="0" applyAlignment="1">
      <alignment vertical="center"/>
    </xf>
    <xf numFmtId="0" fontId="34" fillId="46" borderId="0" applyAlignment="1">
      <alignment vertical="center"/>
    </xf>
    <xf numFmtId="0" fontId="33" fillId="47" borderId="0" applyAlignment="1">
      <alignment vertical="center"/>
    </xf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4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2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3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0" fillId="0" borderId="1" pivotButton="0" quotePrefix="0" xfId="0"/>
    <xf numFmtId="165" fontId="11" fillId="0" borderId="1" applyAlignment="1" pivotButton="0" quotePrefix="0" xfId="0">
      <alignment horizontal="center" vertical="center"/>
    </xf>
    <xf numFmtId="0" fontId="12" fillId="13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13" borderId="1" pivotButton="0" quotePrefix="0" xfId="0"/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indent="1"/>
    </xf>
    <xf numFmtId="166" fontId="0" fillId="0" borderId="1" applyAlignment="1" pivotButton="0" quotePrefix="0" xfId="0">
      <alignment horizontal="center" vertical="center"/>
    </xf>
    <xf numFmtId="0" fontId="12" fillId="14" borderId="1" pivotButton="0" quotePrefix="0" xfId="0"/>
    <xf numFmtId="0" fontId="0" fillId="14" borderId="1" pivotButton="0" quotePrefix="0" xfId="0"/>
    <xf numFmtId="0" fontId="12" fillId="15" borderId="1" pivotButton="0" quotePrefix="0" xfId="0"/>
    <xf numFmtId="0" fontId="0" fillId="15" borderId="1" pivotButton="0" quotePrefix="0" xfId="0"/>
    <xf numFmtId="0" fontId="12" fillId="16" borderId="1" pivotButton="0" quotePrefix="0" xfId="0"/>
    <xf numFmtId="0" fontId="0" fillId="16" borderId="1" pivotButton="0" quotePrefix="0" xfId="0"/>
    <xf numFmtId="164" fontId="4" fillId="4" borderId="1" applyAlignment="1" pivotButton="0" quotePrefix="0" xfId="0">
      <alignment horizontal="center" vertical="center" wrapText="1"/>
    </xf>
    <xf numFmtId="14" fontId="4" fillId="4" borderId="1" applyAlignment="1" pivotButton="0" quotePrefix="0" xfId="0">
      <alignment horizontal="center" vertical="center" wrapText="1"/>
    </xf>
    <xf numFmtId="14" fontId="5" fillId="4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4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left" vertical="center" wrapText="1"/>
    </xf>
    <xf numFmtId="14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3" fillId="10" borderId="1" applyAlignment="1" pivotButton="0" quotePrefix="0" xfId="0">
      <alignment horizontal="left" vertical="center" wrapText="1"/>
    </xf>
    <xf numFmtId="0" fontId="14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left" vertical="center" wrapText="1"/>
    </xf>
    <xf numFmtId="167" fontId="14" fillId="0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8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8" fontId="4" fillId="5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EC"/>
          <bgColor rgb="FFFCE4E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7E6E6"/>
          <bgColor rgb="FF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6350</colOff>
      <row>0</row>
      <rowOff>6350</rowOff>
    </from>
    <to>
      <col>17</col>
      <colOff>3810</colOff>
      <row>39</row>
      <rowOff>16510</rowOff>
    </to>
    <pic>
      <nvPicPr>
        <cNvPr id="2" name="图片 1" descr="2026-09-07_1135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350" y="6350"/>
          <a:ext cx="10360660" cy="6944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145" zoomScaleNormal="145" workbookViewId="0">
      <selection activeCell="T38" sqref="T38"/>
    </sheetView>
  </sheetViews>
  <sheetFormatPr baseColWidth="8" defaultColWidth="8.72727272727273" defaultRowHeight="14"/>
  <sheetData>
    <row r="1">
      <c r="A1" t="inlineStr">
        <is>
          <t>注：V1.0/V1.1/V2.0 三版结构与上线节点（10-16/11-17/12-07）不变；范围随 2026-09-14 全量更新（详见汇总表）——V1.1 增移动端 H5；组装/拆卸/丢损赔偿单/退租申请/两台账移出；两档案合并为产品档案。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3" topLeftCell="A4" activePane="bottomLeft" state="frozen"/>
      <selection activeCell="A1" sqref="A1"/>
      <selection pane="bottomLeft" activeCell="G4" sqref="G4"/>
    </sheetView>
  </sheetViews>
  <sheetFormatPr baseColWidth="8" defaultColWidth="9" defaultRowHeight="14"/>
  <cols>
    <col width="10" customWidth="1" min="1" max="1"/>
    <col width="20" customWidth="1" min="2" max="2"/>
    <col width="52" customWidth="1" min="3" max="3"/>
    <col width="10" customWidth="1" min="4" max="5"/>
    <col width="12" customWidth="1" min="6" max="7"/>
    <col width="15" customWidth="1" min="8" max="8"/>
  </cols>
  <sheetData>
    <row r="1" ht="18" customHeight="1">
      <c r="A1" s="1" t="inlineStr">
        <is>
          <t>汇总与折算（公式驱动，唯一维护处）</t>
        </is>
      </c>
    </row>
    <row r="3" ht="14.5" customHeight="1">
      <c r="A3" s="3" t="inlineStr">
        <is>
          <t>WBS</t>
        </is>
      </c>
      <c r="B3" s="3" t="inlineStr">
        <is>
          <t>模块/阶段</t>
        </is>
      </c>
      <c r="C3" s="3" t="inlineStr">
        <is>
          <t>人日小计</t>
        </is>
      </c>
      <c r="D3" s="3" t="inlineStr">
        <is>
          <t>开始日期</t>
        </is>
      </c>
      <c r="E3" s="3" t="inlineStr">
        <is>
          <t>结束日期</t>
        </is>
      </c>
      <c r="F3" s="3" t="inlineStr">
        <is>
          <t>关键风险/依赖</t>
        </is>
      </c>
    </row>
    <row r="4" ht="26" customHeight="1">
      <c r="A4" s="4" t="inlineStr">
        <is>
          <t>A1</t>
        </is>
      </c>
      <c r="B4" s="5" t="inlineStr">
        <is>
          <t>需求调研与PRD</t>
        </is>
      </c>
      <c r="C4" s="75">
        <f>SUMIF('功能点评估（全栈）'!$A$4:$A$69,$A4,'功能点评估（全栈）'!$H$4:$H$69)</f>
        <v/>
      </c>
      <c r="D4" s="52">
        <f>IF(COUNT('功能点评估（全栈）'!K4:K7)=0,"",MIN('功能点评估（全栈）'!K4:K7))</f>
        <v/>
      </c>
      <c r="E4" s="52">
        <f>IF(COUNT('功能点评估（全栈）'!L4:L7)=0,"",MAX('功能点评估（全栈）'!L4:L7))</f>
        <v/>
      </c>
      <c r="F4" s="5" t="inlineStr">
        <is>
          <t>#2 #3 材料未齐即启动，PRD 有返工风险</t>
        </is>
      </c>
    </row>
    <row r="5" ht="26" customHeight="1">
      <c r="A5" s="4" t="inlineStr">
        <is>
          <t>A2</t>
        </is>
      </c>
      <c r="B5" s="5" t="inlineStr">
        <is>
          <t>原型设计</t>
        </is>
      </c>
      <c r="C5" s="75">
        <f>SUMIF('功能点评估（全栈）'!$A$4:$A$69,$A5,'功能点评估（全栈）'!$H$4:$H$69)</f>
        <v/>
      </c>
      <c r="D5" s="52">
        <f>IF(COUNT('功能点评估（全栈）'!K8:K9)=0,"",MIN('功能点评估（全栈）'!K8:K9))</f>
        <v/>
      </c>
      <c r="E5" s="52">
        <f>IF(COUNT('功能点评估（全栈）'!L8:L9)=0,"",MAX('功能点评估（全栈）'!L8:L9))</f>
        <v/>
      </c>
      <c r="F5" s="5" t="inlineStr">
        <is>
          <t>v2.8 已交付，仅评修订量</t>
        </is>
      </c>
    </row>
    <row r="6">
      <c r="A6" s="4" t="inlineStr">
        <is>
          <t>B0</t>
        </is>
      </c>
      <c r="B6" s="5" t="inlineStr">
        <is>
          <t>公共底座与移动端</t>
        </is>
      </c>
      <c r="C6" s="75">
        <f>SUMIF('功能点评估（全栈）'!$A$4:$A$69,$A6,'功能点评估（全栈）'!$H$4:$H$69)</f>
        <v/>
      </c>
      <c r="D6" s="52">
        <f>IF(COUNT('功能点评估（全栈）'!K10:K12)=0,"",MIN('功能点评估（全栈）'!K10:K12))</f>
        <v/>
      </c>
      <c r="E6" s="52">
        <f>IF(COUNT('功能点评估（全栈）'!L10:L12)=0,"",MAX('功能点评估（全栈）'!L10:L12))</f>
        <v/>
      </c>
      <c r="F6" s="5" t="n"/>
    </row>
    <row r="7">
      <c r="A7" s="4" t="inlineStr">
        <is>
          <t>B1</t>
        </is>
      </c>
      <c r="B7" s="5" t="inlineStr">
        <is>
          <t>基础数据</t>
        </is>
      </c>
      <c r="C7" s="75">
        <f>SUMIF('功能点评估（全栈）'!$A$4:$A$69,$A7,'功能点评估（全栈）'!$H$4:$H$69)</f>
        <v/>
      </c>
      <c r="D7" s="52">
        <f>IF(COUNT('功能点评估（全栈）'!K13:K18)=0,"",MIN('功能点评估（全栈）'!K13:K18))</f>
        <v/>
      </c>
      <c r="E7" s="52">
        <f>IF(COUNT('功能点评估（全栈）'!L13:L18)=0,"",MAX('功能点评估（全栈）'!L13:L18))</f>
        <v/>
      </c>
      <c r="F7" s="5" t="n"/>
    </row>
    <row r="8">
      <c r="A8" s="4" t="inlineStr">
        <is>
          <t>B2</t>
        </is>
      </c>
      <c r="B8" s="5" t="inlineStr">
        <is>
          <t>项目管理中心</t>
        </is>
      </c>
      <c r="C8" s="75">
        <f>SUMIF('功能点评估（全栈）'!$A$4:$A$69,$A8,'功能点评估（全栈）'!$H$4:$H$69)</f>
        <v/>
      </c>
      <c r="D8" s="52">
        <f>IF(COUNT('功能点评估（全栈）'!K19:K23)=0,"",MIN('功能点评估（全栈）'!K19:K23))</f>
        <v/>
      </c>
      <c r="E8" s="52">
        <f>IF(COUNT('功能点评估（全栈）'!L19:L23)=0,"",MAX('功能点评估（全栈）'!L19:L23))</f>
        <v/>
      </c>
      <c r="F8" s="5" t="n"/>
    </row>
    <row r="9" ht="26" customHeight="1">
      <c r="A9" s="4" t="inlineStr">
        <is>
          <t>B3</t>
        </is>
      </c>
      <c r="B9" s="5" t="inlineStr">
        <is>
          <t>仓储作业 ★核心</t>
        </is>
      </c>
      <c r="C9" s="75">
        <f>SUMIF('功能点评估（全栈）'!$A$4:$A$69,$A9,'功能点评估（全栈）'!$H$4:$H$69)</f>
        <v/>
      </c>
      <c r="D9" s="52">
        <f>IF(COUNT('功能点评估（全栈）'!K24:K36)=0,"",MIN('功能点评估（全栈）'!K24:K36))</f>
        <v/>
      </c>
      <c r="E9" s="52">
        <f>IF(COUNT('功能点评估（全栈）'!L24:L36)=0,"",MAX('功能点评估（全栈）'!L24:L36))</f>
        <v/>
      </c>
      <c r="F9" s="5" t="inlineStr">
        <is>
          <t>11 类单据；无组装/拆卸（BOM 结果导向·出库按组合扣减/退租按零件入库）</t>
        </is>
      </c>
    </row>
    <row r="10" ht="26" customHeight="1">
      <c r="A10" s="4" t="inlineStr">
        <is>
          <t>B4</t>
        </is>
      </c>
      <c r="B10" s="5" t="inlineStr">
        <is>
          <t>租赁管理</t>
        </is>
      </c>
      <c r="C10" s="75">
        <f>SUMIF('功能点评估（全栈）'!$A$4:$A$69,$A10,'功能点评估（全栈）'!$H$4:$H$69)</f>
        <v/>
      </c>
      <c r="D10" s="52">
        <f>IF(COUNT('功能点评估（全栈）'!K37:K42)=0,"",MIN('功能点评估（全栈）'!K37:K42))</f>
        <v/>
      </c>
      <c r="E10" s="52">
        <f>IF(COUNT('功能点评估（全栈）'!L37:L42)=0,"",MAX('功能点评估（全栈）'!L37:L42))</f>
        <v/>
      </c>
      <c r="F10" s="5" t="inlineStr">
        <is>
          <t>计费三段式已拍板（09-11）；无日租金口径</t>
        </is>
      </c>
    </row>
    <row r="11" ht="26" customHeight="1">
      <c r="A11" s="4" t="inlineStr">
        <is>
          <t>B5</t>
        </is>
      </c>
      <c r="B11" s="5" t="inlineStr">
        <is>
          <t>销售管理</t>
        </is>
      </c>
      <c r="C11" s="75">
        <f>SUMIF('功能点评估（全栈）'!$A$4:$A$69,$A11,'功能点评估（全栈）'!$H$4:$H$69)</f>
        <v/>
      </c>
      <c r="D11" s="52">
        <f>IF(COUNT('功能点评估（全栈）'!K43:K46)=0,"",MIN('功能点评估（全栈）'!K43:K46))</f>
        <v/>
      </c>
      <c r="E11" s="52">
        <f>IF(COUNT('功能点评估（全栈）'!L43:L46)=0,"",MAX('功能点评估（全栈）'!L43:L46))</f>
        <v/>
      </c>
      <c r="F11" s="5" t="inlineStr">
        <is>
          <t>#6 路凯对接方式待定</t>
        </is>
      </c>
    </row>
    <row r="12" ht="39" customHeight="1">
      <c r="A12" s="4" t="inlineStr">
        <is>
          <t>B6</t>
        </is>
      </c>
      <c r="B12" s="5" t="inlineStr">
        <is>
          <t>财务协同</t>
        </is>
      </c>
      <c r="C12" s="75">
        <f>SUMIF('功能点评估（全栈）'!$A$4:$A$69,$A12,'功能点评估（全栈）'!$H$4:$H$69)</f>
        <v/>
      </c>
      <c r="D12" s="52">
        <f>IF(COUNT('功能点评估（全栈）'!K47:K53)=0,"",MIN('功能点评估（全栈）'!K47:K53))</f>
        <v/>
      </c>
      <c r="E12" s="52">
        <f>IF(COUNT('功能点评估（全栈）'!L47:L53)=0,"",MAX('功能点评估（全栈）'!L47:L53))</f>
        <v/>
      </c>
      <c r="F12" s="5" t="inlineStr">
        <is>
          <t>#5 单据/水单样例、#8 开票主体待提供</t>
        </is>
      </c>
    </row>
    <row r="13">
      <c r="A13" s="4" t="inlineStr">
        <is>
          <t>B7</t>
        </is>
      </c>
      <c r="B13" s="5" t="inlineStr">
        <is>
          <t>系统管理</t>
        </is>
      </c>
      <c r="C13" s="75">
        <f>SUMIF('功能点评估（全栈）'!$A$4:$A$69,$A13,'功能点评估（全栈）'!$H$4:$H$69)</f>
        <v/>
      </c>
      <c r="D13" s="52">
        <f>IF(COUNT('功能点评估（全栈）'!K54:K56)=0,"",MIN('功能点评估（全栈）'!K54:K56))</f>
        <v/>
      </c>
      <c r="E13" s="52">
        <f>IF(COUNT('功能点评估（全栈）'!L54:L56)=0,"",MAX('功能点评估（全栈）'!L54:L56))</f>
        <v/>
      </c>
      <c r="F13" s="5" t="n"/>
    </row>
    <row r="14" ht="26" customHeight="1">
      <c r="A14" s="4" t="inlineStr">
        <is>
          <t>B8</t>
        </is>
      </c>
      <c r="B14" s="5" t="inlineStr">
        <is>
          <t>采购管理</t>
        </is>
      </c>
      <c r="C14" s="75">
        <f>SUMIF('功能点评估（全栈）'!$A$4:$A$69,$A14,'功能点评估（全栈）'!$H$4:$H$69)</f>
        <v/>
      </c>
      <c r="D14" s="52">
        <f>IF(COUNT('功能点评估（全栈）'!K57:K61)=0,"",MIN('功能点评估（全栈）'!K57:K61))</f>
        <v/>
      </c>
      <c r="E14" s="52">
        <f>IF(COUNT('功能点评估（全栈）'!L57:L61)=0,"",MAX('功能点评估（全栈）'!L57:L61))</f>
        <v/>
      </c>
      <c r="F14" s="5" t="inlineStr">
        <is>
          <t>第 2 次会新增模块（09-04 拍板第一期闭环）</t>
        </is>
      </c>
    </row>
    <row r="15" ht="39" customHeight="1">
      <c r="A15" s="4" t="inlineStr">
        <is>
          <t>C1</t>
        </is>
      </c>
      <c r="B15" s="5" t="inlineStr">
        <is>
          <t>测试</t>
        </is>
      </c>
      <c r="C15" s="75">
        <f>SUMIF('功能点评估（全栈）'!$A$4:$A$69,$A15,'功能点评估（全栈）'!$H$4:$H$69)</f>
        <v/>
      </c>
      <c r="D15" s="52">
        <f>IF(COUNT('功能点评估（全栈）'!K62:K63)=0,"",MIN('功能点评估（全栈）'!K62:K63))</f>
        <v/>
      </c>
      <c r="E15" s="52">
        <f>IF(COUNT('功能点评估（全栈）'!L62:L63)=0,"",MAX('功能点评估（全栈）'!L62:L63))</f>
        <v/>
      </c>
      <c r="F15" s="5" t="inlineStr">
        <is>
          <t>用例需覆盖 F01 五条主线全链路</t>
        </is>
      </c>
    </row>
    <row r="16" ht="26" customHeight="1">
      <c r="A16" s="4" t="inlineStr">
        <is>
          <t>C2</t>
        </is>
      </c>
      <c r="B16" s="5" t="inlineStr">
        <is>
          <t>数据迁移</t>
        </is>
      </c>
      <c r="C16" s="75">
        <f>SUMIF('功能点评估（全栈）'!$A$4:$A$69,$A16,'功能点评估（全栈）'!$H$4:$H$69)</f>
        <v/>
      </c>
      <c r="D16" s="52">
        <f>IF(COUNT('功能点评估（全栈）'!K64:K66)=0,"",MIN('功能点评估（全栈）'!K64:K66))</f>
        <v/>
      </c>
      <c r="E16" s="52">
        <f>IF(COUNT('功能点评估（全栈）'!L64:L66)=0,"",MAX('功能点评估（全栈）'!L64:L66))</f>
        <v/>
      </c>
      <c r="F16" s="5" t="inlineStr">
        <is>
          <t>#4 主数据清单与格式待提供</t>
        </is>
      </c>
    </row>
    <row r="17" ht="26" customHeight="1">
      <c r="A17" s="4" t="inlineStr">
        <is>
          <t>C3</t>
        </is>
      </c>
      <c r="B17" s="5" t="inlineStr">
        <is>
          <t>上线部署</t>
        </is>
      </c>
      <c r="C17" s="75">
        <f>SUMIF('功能点评估（全栈）'!$A$4:$A$69,$A17,'功能点评估（全栈）'!$H$4:$H$69)</f>
        <v/>
      </c>
      <c r="D17" s="52">
        <f>IF(COUNT('功能点评估（全栈）'!K67:K69)=0,"",MIN('功能点评估（全栈）'!K67:K69))</f>
        <v/>
      </c>
      <c r="E17" s="52">
        <f>IF(COUNT('功能点评估（全栈）'!L67:L69)=0,"",MAX('功能点评估（全栈）'!L67:L69))</f>
        <v/>
      </c>
      <c r="F17" s="5" t="inlineStr">
        <is>
          <t>试运行窗口待与客户确认</t>
        </is>
      </c>
    </row>
    <row r="18" ht="15.5" customHeight="1">
      <c r="A18" s="18" t="n"/>
      <c r="B18" s="18" t="inlineStr">
        <is>
          <t>合计 / 全跨度</t>
        </is>
      </c>
      <c r="C18" s="19">
        <f>SUM(C4:C17)</f>
        <v/>
      </c>
      <c r="D18" s="53">
        <f>IF(COUNT(D4:D17)=0,"",MIN(D4:D17))</f>
        <v/>
      </c>
      <c r="E18" s="53">
        <f>IF(COUNT(E4:E17)=0,"",MAX(E4:E17))</f>
        <v/>
      </c>
      <c r="F18" s="18" t="n"/>
    </row>
    <row r="20" ht="15.5" customHeight="1">
      <c r="A20" s="72" t="inlineStr">
        <is>
          <t>版本里程碑（人日 × 上线节点 × 范围，合并原「版本小计 + 里程碑一览」）</t>
        </is>
      </c>
      <c r="B20" s="74" t="n"/>
      <c r="C20" s="74" t="n"/>
      <c r="D20" s="74" t="n"/>
      <c r="E20" s="74" t="n"/>
      <c r="F20" s="74" t="n"/>
      <c r="G20" s="74" t="n"/>
    </row>
    <row r="21" ht="14.5" customHeight="1">
      <c r="A21" s="56" t="inlineStr">
        <is>
          <t>版本</t>
        </is>
      </c>
      <c r="B21" s="56" t="inlineStr">
        <is>
          <t>上线 / 完成节点</t>
        </is>
      </c>
      <c r="C21" s="56" t="inlineStr">
        <is>
          <t>范围与业务</t>
        </is>
      </c>
      <c r="D21" s="56" t="inlineStr">
        <is>
          <t>人日小计</t>
        </is>
      </c>
      <c r="E21" s="56" t="inlineStr">
        <is>
          <t>含缓冲</t>
        </is>
      </c>
      <c r="F21" s="56" t="inlineStr">
        <is>
          <t>开始日期</t>
        </is>
      </c>
      <c r="G21" s="56" t="inlineStr">
        <is>
          <t>结束日期</t>
        </is>
      </c>
      <c r="H21" s="56" t="inlineStr">
        <is>
          <t>无AI对照
（方案1·212人日）</t>
        </is>
      </c>
    </row>
    <row r="22" ht="65" customHeight="1">
      <c r="A22" s="57" t="inlineStr">
        <is>
          <t>前置</t>
        </is>
      </c>
      <c r="B22" s="58" t="inlineStr">
        <is>
          <t>09-07 ~ 09-11 定版</t>
        </is>
      </c>
      <c r="C22" s="76" t="inlineStr">
        <is>
          <t>走查 45 页 + 计费确认 + PRD 冻结 + 芋道底座/编码规范</t>
        </is>
      </c>
      <c r="D22" s="57" t="n">
        <v>12.75</v>
      </c>
      <c r="E22" s="57">
        <f>ROUND(D22*(1+$C$46),2)</f>
        <v/>
      </c>
      <c r="F22" s="60" t="n">
        <v>46272</v>
      </c>
      <c r="G22" s="60" t="n">
        <v>46276</v>
      </c>
      <c r="H22" s="61" t="inlineStr">
        <is>
          <t>无AI 09-16</t>
        </is>
      </c>
    </row>
    <row r="23" ht="104" customHeight="1">
      <c r="A23" s="62" t="inlineStr">
        <is>
          <t>V1.0</t>
        </is>
      </c>
      <c r="B23" s="63" t="inlineStr">
        <is>
          <t>★ 10-16 上线</t>
        </is>
      </c>
      <c r="C23" s="76" t="inlineStr">
        <is>
          <t>买卖版：买卖全链 + 库存（查询五态/调拨/其他出入库）+ 应收六来源/回款 + 权限矩阵</t>
        </is>
      </c>
      <c r="D23" s="57" t="n">
        <v>35</v>
      </c>
      <c r="E23" s="57">
        <f>ROUND(D23*(1+$C$46),2)</f>
        <v/>
      </c>
      <c r="F23" s="60" t="n">
        <v>46275</v>
      </c>
      <c r="G23" s="60" t="n">
        <v>46294</v>
      </c>
      <c r="H23" s="61" t="inlineStr">
        <is>
          <t>无AI 10-30</t>
        </is>
      </c>
    </row>
    <row r="24" ht="78" customHeight="1">
      <c r="A24" s="64" t="inlineStr">
        <is>
          <t>V1.1</t>
        </is>
      </c>
      <c r="B24" s="63" t="inlineStr">
        <is>
          <t>★ 11-17 上线</t>
        </is>
      </c>
      <c r="C24" s="76" t="inlineStr">
        <is>
          <t>租赁版：租赁循环（租赁单/租赁出库/退租入库两事件）+ BOM + 计费三段式 + 应付/付款 + 移动端 H5</t>
        </is>
      </c>
      <c r="D24" s="57" t="n">
        <v>28</v>
      </c>
      <c r="E24" s="57">
        <f>ROUND(D24*(1+$C$46),2)</f>
        <v/>
      </c>
      <c r="F24" s="60" t="n">
        <v>46282</v>
      </c>
      <c r="G24" s="60" t="n">
        <v>46331</v>
      </c>
      <c r="H24" s="61" t="inlineStr">
        <is>
          <t>无AI 12-10</t>
        </is>
      </c>
    </row>
    <row r="25" ht="78" customHeight="1">
      <c r="A25" s="65" t="inlineStr">
        <is>
          <t>V2.0</t>
        </is>
      </c>
      <c r="B25" s="63" t="inlineStr">
        <is>
          <t>★ 12-07 上线</t>
        </is>
      </c>
      <c r="C25" s="76" t="inlineStr">
        <is>
          <t>深化版：租入三单（L3/L4）+ 路凯对接 + 财务收口（开票/水单核销/财务看板）+ 数据字典</t>
        </is>
      </c>
      <c r="D25" s="57" t="n">
        <v>20.5</v>
      </c>
      <c r="E25" s="57">
        <f>ROUND(D25*(1+$C$46),2)</f>
        <v/>
      </c>
      <c r="F25" s="60" t="n">
        <v>46332</v>
      </c>
      <c r="G25" s="60" t="n">
        <v>46349</v>
      </c>
      <c r="H25" s="61" t="inlineStr">
        <is>
          <t>无AI 01-15</t>
        </is>
      </c>
    </row>
    <row r="26" ht="52" customHeight="1">
      <c r="A26" s="57" t="inlineStr">
        <is>
          <t>验收收口</t>
        </is>
      </c>
      <c r="B26" s="58" t="inlineStr">
        <is>
          <t>12-25 前后</t>
        </is>
      </c>
      <c r="C26" s="76" t="inlineStr">
        <is>
          <t>试运行 2 周（真实订单并行）+ 年内验收；富余产能启动 2027 backlog</t>
        </is>
      </c>
      <c r="D26" s="57" t="n"/>
      <c r="E26" s="57" t="n"/>
      <c r="F26" s="58" t="n"/>
      <c r="G26" s="58" t="n"/>
      <c r="H26" s="61" t="inlineStr">
        <is>
          <t>无AI 2027-01-31</t>
        </is>
      </c>
    </row>
    <row r="27" ht="27" customHeight="1">
      <c r="A27" s="57" t="inlineStr">
        <is>
          <t>各版</t>
        </is>
      </c>
      <c r="B27" s="58" t="inlineStr">
        <is>
          <t>10-08 / 11-09 / 12-01 启动</t>
        </is>
      </c>
      <c r="C27" s="61" t="inlineStr">
        <is>
          <t>测试 / UAT / 数据迁移 / 部署 / 切换 / 试运行——每版上线前各跑一轮（单轮 15 人日×3）</t>
        </is>
      </c>
      <c r="D27" s="57" t="n">
        <v>45</v>
      </c>
      <c r="E27" s="57">
        <f>ROUND(D27*(1+$C$46),2)</f>
        <v/>
      </c>
      <c r="F27" s="60" t="n">
        <v>46303</v>
      </c>
      <c r="G27" s="60" t="n">
        <v>46374</v>
      </c>
      <c r="H27" s="61" t="inlineStr">
        <is>
          <t>—</t>
        </is>
      </c>
    </row>
    <row r="28" ht="15" customHeight="1">
      <c r="A28" s="74" t="n"/>
      <c r="B28" s="74" t="n"/>
      <c r="C28" s="66" t="inlineStr">
        <is>
          <t>版本人日合计（校验=总合计 C18）</t>
        </is>
      </c>
      <c r="D28" s="66">
        <f>SUM(D22:D27)</f>
        <v/>
      </c>
      <c r="E28" s="57">
        <f>IF(D28=C18,"✓ 一致","✗ 不一致")</f>
        <v/>
      </c>
      <c r="F28" s="74" t="n"/>
      <c r="G28" s="74" t="n"/>
    </row>
    <row r="29" ht="15.5" customHeight="1">
      <c r="A29" s="74" t="n"/>
      <c r="B29" s="74" t="n"/>
      <c r="C29" s="74" t="n"/>
      <c r="D29" s="74" t="n"/>
      <c r="E29" s="74" t="n"/>
      <c r="F29" s="74" t="n"/>
      <c r="G29" s="74" t="n"/>
    </row>
    <row r="30" ht="15" customHeight="1">
      <c r="A30" s="72" t="inlineStr">
        <is>
          <t>按月负载（原「按月版本规划」主体并入）</t>
        </is>
      </c>
      <c r="B30" s="74" t="n"/>
      <c r="C30" s="67" t="n"/>
      <c r="D30" s="74" t="n"/>
      <c r="E30" s="74" t="n"/>
      <c r="F30" s="74" t="n"/>
      <c r="G30" s="74" t="n"/>
    </row>
    <row r="31" ht="15" customHeight="1">
      <c r="A31" s="56" t="inlineStr">
        <is>
          <t>月份</t>
        </is>
      </c>
      <c r="B31" s="56" t="inlineStr">
        <is>
          <t>计划人日
（含缓冲）</t>
        </is>
      </c>
      <c r="C31" s="56" t="inlineStr">
        <is>
          <t>当月产能
（人日）</t>
        </is>
      </c>
      <c r="D31" s="56" t="inlineStr">
        <is>
          <t>负载率</t>
        </is>
      </c>
      <c r="E31" s="56" t="inlineStr">
        <is>
          <t>当月里程碑与内容摘要</t>
        </is>
      </c>
      <c r="F31" s="74" t="n"/>
      <c r="G31" s="74" t="n"/>
    </row>
    <row r="32" ht="15" customHeight="1">
      <c r="A32" s="58" t="inlineStr">
        <is>
          <t>2026-09</t>
        </is>
      </c>
      <c r="B32" s="58" t="n">
        <v>40</v>
      </c>
      <c r="C32" s="58" t="n">
        <v>54</v>
      </c>
      <c r="D32" s="77">
        <f>B32/C32</f>
        <v/>
      </c>
      <c r="E32" s="61" t="inlineStr">
        <is>
          <t>前置段完成；底座+V1.0 全量开发（09-15 起）+ 站内信</t>
        </is>
      </c>
      <c r="F32" s="74" t="n"/>
      <c r="G32" s="74" t="n"/>
    </row>
    <row r="33" ht="15" customHeight="1">
      <c r="A33" s="58" t="inlineStr">
        <is>
          <t>2026-10</t>
        </is>
      </c>
      <c r="B33" s="58" t="n">
        <v>47</v>
      </c>
      <c r="C33" s="58" t="n">
        <v>48</v>
      </c>
      <c r="D33" s="77">
        <f>B33/C33</f>
        <v/>
      </c>
      <c r="E33" s="69" t="inlineStr">
        <is>
          <t>10-08~15 轮1：集成测试/UAT/主数据迁移/部署；★10-16 V1.0 上线</t>
        </is>
      </c>
      <c r="F33" s="74" t="n"/>
      <c r="G33" s="74" t="n"/>
    </row>
    <row r="34" ht="15" customHeight="1">
      <c r="A34" s="58" t="inlineStr">
        <is>
          <t>2026-11</t>
        </is>
      </c>
      <c r="B34" s="58" t="n">
        <v>39</v>
      </c>
      <c r="C34" s="58" t="n">
        <v>63</v>
      </c>
      <c r="D34" s="77">
        <f>B34/C34</f>
        <v/>
      </c>
      <c r="E34" s="69" t="inlineStr">
        <is>
          <t>V1.1 开发完成（含移动端 H5）；11-09~16 轮2；★11-17 V1.1 上线</t>
        </is>
      </c>
      <c r="F34" s="74" t="n"/>
      <c r="G34" s="74" t="n"/>
    </row>
    <row r="35" ht="15" customHeight="1">
      <c r="A35" s="58" t="inlineStr">
        <is>
          <t>2026-12</t>
        </is>
      </c>
      <c r="B35" s="58" t="n">
        <v>36.4</v>
      </c>
      <c r="C35" s="58" t="n">
        <v>69</v>
      </c>
      <c r="D35" s="77">
        <f>B35/C35</f>
        <v/>
      </c>
      <c r="E35" s="69" t="inlineStr">
        <is>
          <t>12-01~04 轮3（租入在途迁移/部署）；★12-07 V2.0 全量上线（115 页口径）；12-25 前验收</t>
        </is>
      </c>
      <c r="F35" s="74" t="n"/>
      <c r="G35" s="74" t="n"/>
    </row>
    <row r="36">
      <c r="A36" s="66" t="inlineStr">
        <is>
          <t>合计</t>
        </is>
      </c>
      <c r="B36" s="70">
        <f>SUM(B32:B35)</f>
        <v/>
      </c>
      <c r="C36" s="70">
        <f>SUM(C32:C35)</f>
        <v/>
      </c>
      <c r="D36" s="78">
        <f>B36/C36</f>
        <v/>
      </c>
      <c r="E36" s="70" t="n"/>
    </row>
    <row r="38" ht="15.5" customHeight="1">
      <c r="A38" s="72" t="inlineStr">
        <is>
          <t>AI 协作（Claude Code）前提与风险</t>
        </is>
      </c>
    </row>
    <row r="39" ht="39" customHeight="1">
      <c r="A39" s="73" t="inlineStr">
        <is>
          <t>R1 评审带宽</t>
        </is>
      </c>
      <c r="B39" s="61" t="inlineStr">
        <is>
          <t>AI 产出量大，3 名工程师须固定每日代码评审时段消化</t>
        </is>
      </c>
    </row>
    <row r="40" ht="39" customHeight="1">
      <c r="A40" s="73" t="inlineStr">
        <is>
          <t>R2 风格统一</t>
        </is>
      </c>
      <c r="B40" s="61" t="inlineStr">
        <is>
          <t>底座周（09-09~10）必须落编码规范与组件约定，统一三套 AI 风格</t>
        </is>
      </c>
    </row>
    <row r="41" ht="39" customHeight="1">
      <c r="A41" s="73" t="inlineStr">
        <is>
          <t>R3 关键逻辑</t>
        </is>
      </c>
      <c r="B41" s="61" t="inlineStr">
        <is>
          <t>库存过账/组装拆卸/四态计费/水单核销以人工设计主导，勿盲信 AI 产出</t>
        </is>
      </c>
    </row>
    <row r="42" ht="39" customHeight="1">
      <c r="A42" s="73" t="inlineStr">
        <is>
          <t>R4 磨合回退</t>
        </is>
      </c>
      <c r="B42" s="61" t="inlineStr">
        <is>
          <t>若 AI 协作磨合不顺（提速退化），工期按 212 人日口径上浮，里程碑顺延</t>
        </is>
      </c>
    </row>
    <row r="43" ht="52" customHeight="1">
      <c r="A43" s="73" t="inlineStr">
        <is>
          <t>R5 外部依赖</t>
        </is>
      </c>
      <c r="B43" s="61" t="inlineStr">
        <is>
          <t>#6 路凯对接方式、#5 水单样例、#8 开票主体——未定项集中在 V2.0 前必须落实</t>
        </is>
      </c>
    </row>
    <row r="45" ht="15.5" customHeight="1">
      <c r="A45" s="72" t="inlineStr">
        <is>
          <t>参数与折算</t>
        </is>
      </c>
    </row>
    <row r="46" ht="15" customHeight="1">
      <c r="A46" s="74" t="inlineStr">
        <is>
          <t>缓冲比例</t>
        </is>
      </c>
      <c r="C46" s="57" t="n">
        <v>0.15</v>
      </c>
      <c r="D46" s="32" t="inlineStr">
        <is>
          <t>已填 15%（覆盖联调与管理裕度）</t>
        </is>
      </c>
    </row>
    <row r="47" ht="15" customHeight="1">
      <c r="A47" s="74" t="inlineStr">
        <is>
          <t>投入人数</t>
        </is>
      </c>
      <c r="C47" s="57" t="n">
        <v>3</v>
      </c>
      <c r="D47" s="32" t="inlineStr">
        <is>
          <t>已填 3（对应 P1-R01 第八节 #9）</t>
        </is>
      </c>
    </row>
    <row r="48" ht="15" customHeight="1">
      <c r="A48" s="74" t="inlineStr">
        <is>
          <t>每月工作日</t>
        </is>
      </c>
      <c r="C48" s="57" t="n">
        <v>21</v>
      </c>
      <c r="D48" s="32" t="inlineStr">
        <is>
          <t>人月折算基准</t>
        </is>
      </c>
    </row>
    <row r="49" ht="15" customHeight="1">
      <c r="A49" s="74" t="inlineStr">
        <is>
          <t>含缓冲合计（人日）</t>
        </is>
      </c>
      <c r="C49" s="66">
        <f>IF(OR($C$46="",$C$18=0),"",$C$18*(1+$C$46))</f>
        <v/>
      </c>
      <c r="D49" s="32" t="inlineStr">
        <is>
          <t>自动：合计×(1+缓冲)</t>
        </is>
      </c>
    </row>
    <row r="50" ht="15" customHeight="1">
      <c r="A50" s="74" t="inlineStr">
        <is>
          <t>日历工期（月）</t>
        </is>
      </c>
      <c r="C50" s="66">
        <f>IF(OR($C$46="",$C$47="",$C$47=0,$C$49=""),"",$C$49/($C$48*$C$47))</f>
        <v/>
      </c>
      <c r="D50" s="32" t="inlineStr">
        <is>
          <t>自动</t>
        </is>
      </c>
    </row>
    <row r="51" ht="15" customHeight="1">
      <c r="A51" s="74" t="inlineStr">
        <is>
          <t>日历工期（周）</t>
        </is>
      </c>
      <c r="C51" s="66">
        <f>IF(OR($C$46="",$C$47="",$C$47=0,$C$49=""),"",$C$49/($C$48*$C$47)*4.33)</f>
        <v/>
      </c>
      <c r="D51" s="32" t="inlineStr">
        <is>
          <t>自动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32"/>
  <sheetViews>
    <sheetView showGridLines="0" zoomScale="85" zoomScaleNormal="85" workbookViewId="0">
      <pane xSplit="5" ySplit="4" topLeftCell="F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"/>
  <cols>
    <col width="6" customWidth="1" min="1" max="1"/>
    <col width="34" customWidth="1" min="2" max="2"/>
    <col width="6" customWidth="1" min="3" max="3"/>
    <col width="8" customWidth="1" min="4" max="5"/>
    <col width="2.63636363636364" customWidth="1" min="6" max="80"/>
  </cols>
  <sheetData>
    <row r="1" ht="18" customHeight="1">
      <c r="A1" s="31" t="inlineStr">
        <is>
          <t>甘特图 · WBS × 版本（30 行概览版）</t>
        </is>
      </c>
    </row>
    <row r="2" ht="15" customHeight="1">
      <c r="A2" s="32" t="inlineStr">
        <is>
          <t>口径：横轴为工作日（09-07 ~ 12-25，共 75 天，已跳双休与国庆 10-01~07）；每条 = 该版本下该模块全部任务的实际起止（快照自「功能点评估（全栈）」，重排后需刷新）；红竖列 = 版本上线里程碑（10-16 / 11-17 / 12-07 / 12-25 验收）；蓝竖列 = 今日。</t>
        </is>
      </c>
    </row>
    <row r="3" ht="14.5" customHeight="1">
      <c r="A3" s="33" t="inlineStr">
        <is>
          <t>WBS</t>
        </is>
      </c>
      <c r="B3" s="33" t="inlineStr">
        <is>
          <t>模块 / 内容</t>
        </is>
      </c>
      <c r="C3" s="33" t="inlineStr">
        <is>
          <t>人日</t>
        </is>
      </c>
      <c r="D3" s="33" t="inlineStr">
        <is>
          <t>开始</t>
        </is>
      </c>
      <c r="E3" s="33" t="inlineStr">
        <is>
          <t>结束</t>
        </is>
      </c>
      <c r="F3" s="34" t="inlineStr">
        <is>
          <t>2026-09</t>
        </is>
      </c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9" t="n"/>
      <c r="X3" s="34" t="inlineStr">
        <is>
          <t>2026-10（国庆后）</t>
        </is>
      </c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9" t="n"/>
      <c r="AO3" s="34" t="inlineStr">
        <is>
          <t>2026-11</t>
        </is>
      </c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  <c r="BB3" s="38" t="n"/>
      <c r="BC3" s="38" t="n"/>
      <c r="BD3" s="38" t="n"/>
      <c r="BE3" s="38" t="n"/>
      <c r="BF3" s="38" t="n"/>
      <c r="BG3" s="38" t="n"/>
      <c r="BH3" s="38" t="n"/>
      <c r="BI3" s="39" t="n"/>
      <c r="BJ3" s="34" t="inlineStr">
        <is>
          <t>2026-12</t>
        </is>
      </c>
      <c r="BK3" s="38" t="n"/>
      <c r="BL3" s="38" t="n"/>
      <c r="BM3" s="38" t="n"/>
      <c r="BN3" s="38" t="n"/>
      <c r="BO3" s="38" t="n"/>
      <c r="BP3" s="38" t="n"/>
      <c r="BQ3" s="38" t="n"/>
      <c r="BR3" s="38" t="n"/>
      <c r="BS3" s="38" t="n"/>
      <c r="BT3" s="38" t="n"/>
      <c r="BU3" s="38" t="n"/>
      <c r="BV3" s="38" t="n"/>
      <c r="BW3" s="38" t="n"/>
      <c r="BX3" s="38" t="n"/>
      <c r="BY3" s="38" t="n"/>
      <c r="BZ3" s="38" t="n"/>
      <c r="CA3" s="38" t="n"/>
      <c r="CB3" s="39" t="n"/>
    </row>
    <row r="4">
      <c r="F4" s="79" t="n">
        <v>46272</v>
      </c>
      <c r="G4" s="79" t="n">
        <v>46273</v>
      </c>
      <c r="H4" s="79" t="n">
        <v>46274</v>
      </c>
      <c r="I4" s="79" t="n">
        <v>46275</v>
      </c>
      <c r="J4" s="79" t="n">
        <v>46276</v>
      </c>
      <c r="K4" s="79" t="n">
        <v>46279</v>
      </c>
      <c r="L4" s="79" t="n">
        <v>46280</v>
      </c>
      <c r="M4" s="79" t="n">
        <v>46281</v>
      </c>
      <c r="N4" s="79" t="n">
        <v>46282</v>
      </c>
      <c r="O4" s="79" t="n">
        <v>46283</v>
      </c>
      <c r="P4" s="79" t="n">
        <v>46286</v>
      </c>
      <c r="Q4" s="79" t="n">
        <v>46287</v>
      </c>
      <c r="R4" s="79" t="n">
        <v>46288</v>
      </c>
      <c r="S4" s="79" t="n">
        <v>46289</v>
      </c>
      <c r="T4" s="79" t="n">
        <v>46290</v>
      </c>
      <c r="U4" s="79" t="n">
        <v>46293</v>
      </c>
      <c r="V4" s="79" t="n">
        <v>46294</v>
      </c>
      <c r="W4" s="79" t="n">
        <v>46295</v>
      </c>
      <c r="X4" s="79" t="n">
        <v>46303</v>
      </c>
      <c r="Y4" s="79" t="n">
        <v>46304</v>
      </c>
      <c r="Z4" s="79" t="n">
        <v>46307</v>
      </c>
      <c r="AA4" s="79" t="n">
        <v>46308</v>
      </c>
      <c r="AB4" s="79" t="n">
        <v>46309</v>
      </c>
      <c r="AC4" s="79" t="n">
        <v>46310</v>
      </c>
      <c r="AD4" s="79" t="n">
        <v>46311</v>
      </c>
      <c r="AE4" s="79" t="n">
        <v>46314</v>
      </c>
      <c r="AF4" s="79" t="n">
        <v>46315</v>
      </c>
      <c r="AG4" s="79" t="n">
        <v>46316</v>
      </c>
      <c r="AH4" s="79" t="n">
        <v>46317</v>
      </c>
      <c r="AI4" s="79" t="n">
        <v>46318</v>
      </c>
      <c r="AJ4" s="79" t="n">
        <v>46321</v>
      </c>
      <c r="AK4" s="79" t="n">
        <v>46322</v>
      </c>
      <c r="AL4" s="79" t="n">
        <v>46323</v>
      </c>
      <c r="AM4" s="79" t="n">
        <v>46324</v>
      </c>
      <c r="AN4" s="79" t="n">
        <v>46325</v>
      </c>
      <c r="AO4" s="79" t="n">
        <v>46328</v>
      </c>
      <c r="AP4" s="79" t="n">
        <v>46329</v>
      </c>
      <c r="AQ4" s="79" t="n">
        <v>46330</v>
      </c>
      <c r="AR4" s="79" t="n">
        <v>46331</v>
      </c>
      <c r="AS4" s="79" t="n">
        <v>46332</v>
      </c>
      <c r="AT4" s="79" t="n">
        <v>46335</v>
      </c>
      <c r="AU4" s="79" t="n">
        <v>46336</v>
      </c>
      <c r="AV4" s="79" t="n">
        <v>46337</v>
      </c>
      <c r="AW4" s="79" t="n">
        <v>46338</v>
      </c>
      <c r="AX4" s="79" t="n">
        <v>46339</v>
      </c>
      <c r="AY4" s="79" t="n">
        <v>46342</v>
      </c>
      <c r="AZ4" s="79" t="n">
        <v>46343</v>
      </c>
      <c r="BA4" s="79" t="n">
        <v>46344</v>
      </c>
      <c r="BB4" s="79" t="n">
        <v>46345</v>
      </c>
      <c r="BC4" s="79" t="n">
        <v>46346</v>
      </c>
      <c r="BD4" s="79" t="n">
        <v>46349</v>
      </c>
      <c r="BE4" s="79" t="n">
        <v>46350</v>
      </c>
      <c r="BF4" s="79" t="n">
        <v>46351</v>
      </c>
      <c r="BG4" s="79" t="n">
        <v>46352</v>
      </c>
      <c r="BH4" s="79" t="n">
        <v>46353</v>
      </c>
      <c r="BI4" s="79" t="n">
        <v>46356</v>
      </c>
      <c r="BJ4" s="79" t="n">
        <v>46357</v>
      </c>
      <c r="BK4" s="79" t="n">
        <v>46358</v>
      </c>
      <c r="BL4" s="79" t="n">
        <v>46359</v>
      </c>
      <c r="BM4" s="79" t="n">
        <v>46360</v>
      </c>
      <c r="BN4" s="79" t="n">
        <v>46363</v>
      </c>
      <c r="BO4" s="79" t="n">
        <v>46364</v>
      </c>
      <c r="BP4" s="79" t="n">
        <v>46365</v>
      </c>
      <c r="BQ4" s="79" t="n">
        <v>46366</v>
      </c>
      <c r="BR4" s="79" t="n">
        <v>46367</v>
      </c>
      <c r="BS4" s="79" t="n">
        <v>46370</v>
      </c>
      <c r="BT4" s="79" t="n">
        <v>46371</v>
      </c>
      <c r="BU4" s="79" t="n">
        <v>46372</v>
      </c>
      <c r="BV4" s="79" t="n">
        <v>46373</v>
      </c>
      <c r="BW4" s="79" t="n">
        <v>46374</v>
      </c>
      <c r="BX4" s="79" t="n">
        <v>46377</v>
      </c>
      <c r="BY4" s="79" t="n">
        <v>46378</v>
      </c>
      <c r="BZ4" s="79" t="n">
        <v>46379</v>
      </c>
      <c r="CA4" s="79" t="n">
        <v>46380</v>
      </c>
      <c r="CB4" s="79" t="n">
        <v>46381</v>
      </c>
    </row>
    <row r="5" ht="15.5" customHeight="1">
      <c r="A5" s="37" t="inlineStr">
        <is>
          <t>前置（09-07 ~ 09-14 · 已完成）</t>
        </is>
      </c>
      <c r="B5" s="38" t="n"/>
      <c r="C5" s="38" t="n"/>
      <c r="D5" s="38" t="n"/>
      <c r="E5" s="39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</row>
    <row r="6">
      <c r="A6" s="41" t="inlineStr">
        <is>
          <t>前置</t>
        </is>
      </c>
      <c r="B6" s="43" t="inlineStr">
        <is>
          <t>需求调研与 PRD（走查/计费/评审冻结·已完成）</t>
        </is>
      </c>
      <c r="C6" s="42" t="n">
        <v>6</v>
      </c>
      <c r="D6" s="80" t="n">
        <v>46272</v>
      </c>
      <c r="E6" s="80" t="n">
        <v>46276</v>
      </c>
    </row>
    <row r="7">
      <c r="A7" s="41" t="inlineStr">
        <is>
          <t>前置</t>
        </is>
      </c>
      <c r="B7" s="43" t="inlineStr">
        <is>
          <t>原型评审定稿（115 HTML·F01 v3.6·已完成）</t>
        </is>
      </c>
      <c r="C7" s="42" t="n">
        <v>1</v>
      </c>
      <c r="D7" s="80" t="n">
        <v>46275</v>
      </c>
      <c r="E7" s="80" t="n">
        <v>46279</v>
      </c>
    </row>
    <row r="8">
      <c r="A8" s="41" t="inlineStr">
        <is>
          <t>前置</t>
        </is>
      </c>
      <c r="B8" s="43" t="inlineStr">
        <is>
          <t>公共底座（脚手架/登录页+登录态/通用组件）</t>
        </is>
      </c>
      <c r="C8" s="42" t="n">
        <v>5.75</v>
      </c>
      <c r="D8" s="80" t="n">
        <v>46272</v>
      </c>
      <c r="E8" s="80" t="n">
        <v>46275</v>
      </c>
    </row>
    <row r="9" ht="15.5" customHeight="1">
      <c r="A9" s="45" t="inlineStr">
        <is>
          <t>V1.0 买卖版 ★ 10-16 上线</t>
        </is>
      </c>
      <c r="B9" s="38" t="n"/>
      <c r="C9" s="38" t="n"/>
      <c r="D9" s="38" t="n"/>
      <c r="E9" s="39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46" t="n"/>
      <c r="AI9" s="46" t="n"/>
      <c r="AJ9" s="46" t="n"/>
      <c r="AK9" s="46" t="n"/>
      <c r="AL9" s="46" t="n"/>
      <c r="AM9" s="46" t="n"/>
      <c r="AN9" s="46" t="n"/>
      <c r="AO9" s="46" t="n"/>
      <c r="AP9" s="46" t="n"/>
      <c r="AQ9" s="46" t="n"/>
      <c r="AR9" s="46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  <c r="BI9" s="46" t="n"/>
      <c r="BJ9" s="46" t="n"/>
      <c r="BK9" s="46" t="n"/>
      <c r="BL9" s="46" t="n"/>
      <c r="BM9" s="46" t="n"/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n"/>
      <c r="BW9" s="46" t="n"/>
      <c r="BX9" s="46" t="n"/>
      <c r="BY9" s="46" t="n"/>
      <c r="BZ9" s="46" t="n"/>
      <c r="CA9" s="46" t="n"/>
      <c r="CB9" s="46" t="n"/>
    </row>
    <row r="10">
      <c r="A10" s="41" t="inlineStr">
        <is>
          <t>V1.0</t>
        </is>
      </c>
      <c r="B10" s="43" t="inlineStr">
        <is>
          <t>基础数据（项目/客商/产品档案[两档合并]/库位）</t>
        </is>
      </c>
      <c r="C10" s="42" t="n">
        <v>6.5</v>
      </c>
      <c r="D10" s="80" t="n">
        <v>46275</v>
      </c>
      <c r="E10" s="80" t="n">
        <v>46283</v>
      </c>
    </row>
    <row r="11">
      <c r="A11" s="41" t="inlineStr">
        <is>
          <t>V1.0</t>
        </is>
      </c>
      <c r="B11" s="43" t="inlineStr">
        <is>
          <t>项目域（编码规则 + 上下游 M:N 绑定）</t>
        </is>
      </c>
      <c r="C11" s="42" t="n">
        <v>1.5</v>
      </c>
      <c r="D11" s="80" t="n">
        <v>46275</v>
      </c>
      <c r="E11" s="80" t="n">
        <v>46276</v>
      </c>
    </row>
    <row r="12">
      <c r="A12" s="41" t="inlineStr">
        <is>
          <t>V1.0</t>
        </is>
      </c>
      <c r="B12" s="43" t="inlineStr">
        <is>
          <t>仓储 V1.0（采购入库/库存查询五态/销售出库/其他出入库/调拨）</t>
        </is>
      </c>
      <c r="C12" s="42" t="n">
        <v>11.5</v>
      </c>
      <c r="D12" s="80" t="n">
        <v>46276</v>
      </c>
      <c r="E12" s="80" t="n">
        <v>46293</v>
      </c>
    </row>
    <row r="13">
      <c r="A13" s="41" t="inlineStr">
        <is>
          <t>V1.0</t>
        </is>
      </c>
      <c r="B13" s="43" t="inlineStr">
        <is>
          <t>销售订单（代下单+审核+附件/关闭）</t>
        </is>
      </c>
      <c r="C13" s="42" t="n">
        <v>3</v>
      </c>
      <c r="D13" s="80" t="n">
        <v>46276</v>
      </c>
      <c r="E13" s="80" t="n">
        <v>46281</v>
      </c>
    </row>
    <row r="14">
      <c r="A14" s="41" t="inlineStr">
        <is>
          <t>V1.0</t>
        </is>
      </c>
      <c r="B14" s="43" t="inlineStr">
        <is>
          <t>财务（应收六来源 + 回款）</t>
        </is>
      </c>
      <c r="C14" s="42" t="n">
        <v>4.5</v>
      </c>
      <c r="D14" s="80" t="n">
        <v>46282</v>
      </c>
      <c r="E14" s="80" t="n">
        <v>46288</v>
      </c>
    </row>
    <row r="15">
      <c r="A15" s="41" t="inlineStr">
        <is>
          <t>V1.0</t>
        </is>
      </c>
      <c r="B15" s="43" t="inlineStr">
        <is>
          <t>系统权限（7 角色·矩阵 16 类）</t>
        </is>
      </c>
      <c r="C15" s="42" t="n">
        <v>1.5</v>
      </c>
      <c r="D15" s="80" t="n">
        <v>46289</v>
      </c>
      <c r="E15" s="80" t="n">
        <v>46290</v>
      </c>
    </row>
    <row r="16">
      <c r="A16" s="41" t="inlineStr">
        <is>
          <t>V1.0</t>
        </is>
      </c>
      <c r="B16" s="43" t="inlineStr">
        <is>
          <t>采购域（订单/审核/入库发起/买卖线订单）+ 站内信</t>
        </is>
      </c>
      <c r="C16" s="42" t="n">
        <v>6.5</v>
      </c>
      <c r="D16" s="80" t="n">
        <v>46286</v>
      </c>
      <c r="E16" s="80" t="n">
        <v>46294</v>
      </c>
    </row>
    <row r="17" ht="15.5" customHeight="1">
      <c r="A17" s="47" t="inlineStr">
        <is>
          <t>V1.1 租赁版（含移动端 H5）★ 11-17 上线</t>
        </is>
      </c>
      <c r="B17" s="38" t="n"/>
      <c r="C17" s="38" t="n"/>
      <c r="D17" s="38" t="n"/>
      <c r="E17" s="39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48" t="n"/>
      <c r="AZ17" s="48" t="n"/>
      <c r="BA17" s="48" t="n"/>
      <c r="BB17" s="48" t="n"/>
      <c r="BC17" s="48" t="n"/>
      <c r="BD17" s="48" t="n"/>
      <c r="BE17" s="48" t="n"/>
      <c r="BF17" s="48" t="n"/>
      <c r="BG17" s="48" t="n"/>
      <c r="BH17" s="48" t="n"/>
      <c r="BI17" s="48" t="n"/>
      <c r="BJ17" s="48" t="n"/>
      <c r="BK17" s="48" t="n"/>
      <c r="BL17" s="48" t="n"/>
      <c r="BM17" s="48" t="n"/>
      <c r="BN17" s="48" t="n"/>
      <c r="BO17" s="48" t="n"/>
      <c r="BP17" s="48" t="n"/>
      <c r="BQ17" s="48" t="n"/>
      <c r="BR17" s="48" t="n"/>
      <c r="BS17" s="48" t="n"/>
      <c r="BT17" s="48" t="n"/>
      <c r="BU17" s="48" t="n"/>
      <c r="BV17" s="48" t="n"/>
      <c r="BW17" s="48" t="n"/>
      <c r="BX17" s="48" t="n"/>
      <c r="BY17" s="48" t="n"/>
      <c r="BZ17" s="48" t="n"/>
      <c r="CA17" s="48" t="n"/>
      <c r="CB17" s="48" t="n"/>
    </row>
    <row r="18">
      <c r="A18" s="41" t="inlineStr">
        <is>
          <t>V1.1</t>
        </is>
      </c>
      <c r="B18" s="43" t="inlineStr">
        <is>
          <t>BOM 维护（版本 + 配比校验·结果导向）</t>
        </is>
      </c>
      <c r="C18" s="42" t="n">
        <v>3</v>
      </c>
      <c r="D18" s="80" t="n">
        <v>46314</v>
      </c>
      <c r="E18" s="80" t="n">
        <v>46316</v>
      </c>
    </row>
    <row r="19">
      <c r="A19" s="41" t="inlineStr">
        <is>
          <t>V1.1</t>
        </is>
      </c>
      <c r="B19" s="43" t="inlineStr">
        <is>
          <t>看板 / 详情 / 我的待办（16 类）</t>
        </is>
      </c>
      <c r="C19" s="42" t="n">
        <v>5</v>
      </c>
      <c r="D19" s="80" t="n">
        <v>46290</v>
      </c>
      <c r="E19" s="80" t="n">
        <v>46308</v>
      </c>
    </row>
    <row r="20">
      <c r="A20" s="41" t="inlineStr">
        <is>
          <t>V1.1</t>
        </is>
      </c>
      <c r="B20" s="43" t="inlineStr">
        <is>
          <t>仓储租赁循环（租赁出库/退租入库两事件/盘点）</t>
        </is>
      </c>
      <c r="C20" s="42" t="n">
        <v>7.5</v>
      </c>
      <c r="D20" s="80" t="n">
        <v>46309</v>
      </c>
      <c r="E20" s="80" t="n">
        <v>46325</v>
      </c>
    </row>
    <row r="21">
      <c r="A21" s="41" t="inlineStr">
        <is>
          <t>V1.1</t>
        </is>
      </c>
      <c r="B21" s="43" t="inlineStr">
        <is>
          <t>计费三段式 + 租赁单（优先查库存/背靠背）</t>
        </is>
      </c>
      <c r="C21" s="42" t="n">
        <v>6</v>
      </c>
      <c r="D21" s="80" t="n">
        <v>46307</v>
      </c>
      <c r="E21" s="80" t="n">
        <v>46316</v>
      </c>
    </row>
    <row r="22">
      <c r="A22" s="41" t="inlineStr">
        <is>
          <t>V1.1</t>
        </is>
      </c>
      <c r="B22" s="43" t="inlineStr">
        <is>
          <t>应付五来源 + 付款登记（分期互算）</t>
        </is>
      </c>
      <c r="C22" s="42" t="n">
        <v>4</v>
      </c>
      <c r="D22" s="80" t="n">
        <v>46282</v>
      </c>
      <c r="E22" s="80" t="n">
        <v>46289</v>
      </c>
    </row>
    <row r="23" ht="15.5" customHeight="1">
      <c r="A23" s="49" t="inlineStr">
        <is>
          <t>V1.1</t>
        </is>
      </c>
      <c r="B23" t="inlineStr">
        <is>
          <t>移动端 H5 五页（企微·审批 P0）</t>
        </is>
      </c>
      <c r="C23" t="n">
        <v>2.5</v>
      </c>
      <c r="D23" s="81" t="n">
        <v>46314</v>
      </c>
      <c r="E23" s="81" t="n">
        <v>46318</v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  <c r="AH23" s="50" t="n"/>
      <c r="AI23" s="50" t="n"/>
      <c r="AJ23" s="50" t="n"/>
      <c r="AK23" s="50" t="n"/>
      <c r="AL23" s="50" t="n"/>
      <c r="AM23" s="50" t="n"/>
      <c r="AN23" s="50" t="n"/>
      <c r="AO23" s="50" t="n"/>
      <c r="AP23" s="50" t="n"/>
      <c r="AQ23" s="50" t="n"/>
      <c r="AR23" s="50" t="n"/>
      <c r="AS23" s="50" t="n"/>
      <c r="AT23" s="50" t="n"/>
      <c r="AU23" s="50" t="n"/>
      <c r="AV23" s="50" t="n"/>
      <c r="AW23" s="50" t="n"/>
      <c r="AX23" s="50" t="n"/>
      <c r="AY23" s="50" t="n"/>
      <c r="AZ23" s="50" t="n"/>
      <c r="BA23" s="50" t="n"/>
      <c r="BB23" s="50" t="n"/>
      <c r="BC23" s="50" t="n"/>
      <c r="BD23" s="50" t="n"/>
      <c r="BE23" s="50" t="n"/>
      <c r="BF23" s="50" t="n"/>
      <c r="BG23" s="50" t="n"/>
      <c r="BH23" s="50" t="n"/>
      <c r="BI23" s="50" t="n"/>
      <c r="BJ23" s="50" t="n"/>
      <c r="BK23" s="50" t="n"/>
      <c r="BL23" s="50" t="n"/>
      <c r="BM23" s="50" t="n"/>
      <c r="BN23" s="50" t="n"/>
      <c r="BO23" s="50" t="n"/>
      <c r="BP23" s="50" t="n"/>
      <c r="BQ23" s="50" t="n"/>
      <c r="BR23" s="50" t="n"/>
      <c r="BS23" s="50" t="n"/>
      <c r="BT23" s="50" t="n"/>
      <c r="BU23" s="50" t="n"/>
      <c r="BV23" s="50" t="n"/>
      <c r="BW23" s="50" t="n"/>
      <c r="BX23" s="50" t="n"/>
      <c r="BY23" s="50" t="n"/>
      <c r="BZ23" s="50" t="n"/>
      <c r="CA23" s="50" t="n"/>
      <c r="CB23" s="50" t="n"/>
    </row>
    <row r="24">
      <c r="A24" s="41" t="inlineStr">
        <is>
          <t>V2.0 深化版 ★ 12-07 上线</t>
        </is>
      </c>
      <c r="B24" s="38" t="n"/>
      <c r="C24" s="38" t="n"/>
      <c r="D24" s="38" t="n"/>
      <c r="E24" s="39" t="n"/>
    </row>
    <row r="25">
      <c r="A25" s="41" t="inlineStr">
        <is>
          <t>V2.0</t>
        </is>
      </c>
      <c r="B25" s="43" t="inlineStr">
        <is>
          <t>租入三单（租入单/租入入库/租入归还）</t>
        </is>
      </c>
      <c r="C25" s="42" t="n">
        <v>5</v>
      </c>
      <c r="D25" s="80" t="n">
        <v>46332</v>
      </c>
      <c r="E25" s="80" t="n">
        <v>46342</v>
      </c>
    </row>
    <row r="26">
      <c r="A26" s="41" t="inlineStr">
        <is>
          <t>V2.0</t>
        </is>
      </c>
      <c r="B26" s="43" t="inlineStr">
        <is>
          <t>路凯订单同步 + 结算导出</t>
        </is>
      </c>
      <c r="C26" s="42" t="n">
        <v>6</v>
      </c>
      <c r="D26" s="80" t="n">
        <v>46335</v>
      </c>
      <c r="E26" s="80" t="n">
        <v>46343</v>
      </c>
    </row>
    <row r="27">
      <c r="A27" s="41" t="inlineStr">
        <is>
          <t>V2.0</t>
        </is>
      </c>
      <c r="B27" s="43" t="inlineStr">
        <is>
          <t>财务收口（开票/水单核销/财务看板）</t>
        </is>
      </c>
      <c r="C27" s="42" t="n">
        <v>8</v>
      </c>
      <c r="D27" s="80" t="n">
        <v>46337</v>
      </c>
      <c r="E27" s="80" t="n">
        <v>46349</v>
      </c>
    </row>
    <row r="28">
      <c r="A28" s="41" t="inlineStr">
        <is>
          <t>V2.0</t>
        </is>
      </c>
      <c r="B28" s="43" t="inlineStr">
        <is>
          <t>操作日志 + 数据字典（24 组）</t>
        </is>
      </c>
      <c r="C28" s="42" t="n">
        <v>1.5</v>
      </c>
      <c r="D28" s="80" t="n">
        <v>46339</v>
      </c>
      <c r="E28" s="80" t="n">
        <v>46342</v>
      </c>
    </row>
    <row r="29" ht="15.5" customHeight="1">
      <c r="A29" s="37" t="inlineStr">
        <is>
          <t>各版支撑（测试 / 迁移 / 上线 · 每版一轮）</t>
        </is>
      </c>
      <c r="B29" s="38" t="n"/>
      <c r="C29" s="38" t="n"/>
      <c r="D29" s="38" t="n"/>
      <c r="E29" s="39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</row>
    <row r="30">
      <c r="A30" s="41" t="inlineStr">
        <is>
          <t>各版</t>
        </is>
      </c>
      <c r="B30" s="43" t="inlineStr">
        <is>
          <t>集成测试 / UAT（F01 v3.6 七泳道·轮1·2·3）</t>
        </is>
      </c>
      <c r="C30" s="42" t="n">
        <v>17</v>
      </c>
      <c r="D30" s="80" t="n">
        <v>46303</v>
      </c>
      <c r="E30" s="80" t="n">
        <v>46360</v>
      </c>
    </row>
    <row r="31">
      <c r="A31" s="41" t="inlineStr">
        <is>
          <t>各版</t>
        </is>
      </c>
      <c r="B31" s="43" t="inlineStr">
        <is>
          <t>数据迁移（主数据/期初五态导库/核对）</t>
        </is>
      </c>
      <c r="C31" s="42" t="n">
        <v>13</v>
      </c>
      <c r="D31" s="80" t="n">
        <v>46303</v>
      </c>
      <c r="E31" s="80" t="n">
        <v>46360</v>
      </c>
    </row>
    <row r="32">
      <c r="A32" s="41" t="inlineStr">
        <is>
          <t>各版</t>
        </is>
      </c>
      <c r="B32" s="43" t="inlineStr">
        <is>
          <t>部署 / 切换 / 试运行</t>
        </is>
      </c>
      <c r="C32" s="42" t="n">
        <v>15</v>
      </c>
      <c r="D32" s="80" t="n">
        <v>46308</v>
      </c>
      <c r="E32" s="80" t="n">
        <v>46374</v>
      </c>
    </row>
  </sheetData>
  <mergeCells count="9">
    <mergeCell ref="A29:E29"/>
    <mergeCell ref="F3:W3"/>
    <mergeCell ref="A24:E24"/>
    <mergeCell ref="X3:AN3"/>
    <mergeCell ref="AO3:BI3"/>
    <mergeCell ref="A5:E5"/>
    <mergeCell ref="A17:E17"/>
    <mergeCell ref="A9:E9"/>
    <mergeCell ref="BJ3:CB3"/>
  </mergeCells>
  <conditionalFormatting sqref="F5:CB32">
    <cfRule type="expression" priority="24" dxfId="0">
      <formula>F$4=TODAY()</formula>
    </cfRule>
    <cfRule type="expression" priority="25" dxfId="1">
      <formula>OR(F$4=DATE(2026,10,16),F$4=DATE(2026,11,17),F$4=DATE(2026,12,7),F$4=DATE(2026,12,25))</formula>
    </cfRule>
  </conditionalFormatting>
  <conditionalFormatting sqref="F6:CB8">
    <cfRule type="expression" priority="1" dxfId="2" stopIfTrue="1">
      <formula>AND(F$4&lt;&gt;"",F$4&lt;=$E6,F$4&gt;=$D6)</formula>
    </cfRule>
  </conditionalFormatting>
  <conditionalFormatting sqref="F10:CB16">
    <cfRule type="expression" priority="4" dxfId="3" stopIfTrue="1">
      <formula>AND(F$4&lt;&gt;"",F$4&lt;=$E10,F$4&gt;=$D10)</formula>
    </cfRule>
  </conditionalFormatting>
  <conditionalFormatting sqref="F18:CB22">
    <cfRule type="expression" priority="11" dxfId="4" stopIfTrue="1">
      <formula>AND(F$4&lt;&gt;"",F$4&lt;=$E18,F$4&gt;=$D18)</formula>
    </cfRule>
  </conditionalFormatting>
  <conditionalFormatting sqref="F24:CB28">
    <cfRule type="expression" priority="16" dxfId="5" stopIfTrue="1">
      <formula>AND(F$4&lt;&gt;"",F$4&lt;=$E24,F$4&gt;=$D24)</formula>
    </cfRule>
  </conditionalFormatting>
  <conditionalFormatting sqref="F30:CB32">
    <cfRule type="expression" priority="21" dxfId="6" stopIfTrue="1">
      <formula>AND(F$4&lt;&gt;"",F$4&lt;=$E30,F$4&gt;=$D30)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89"/>
  <sheetViews>
    <sheetView tabSelected="1" workbookViewId="0">
      <pane xSplit="7" ySplit="4" topLeftCell="H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"/>
  <cols>
    <col width="5" customWidth="1" min="1" max="1"/>
    <col width="10" customWidth="1" min="2" max="2"/>
    <col width="30" customWidth="1" min="3" max="3"/>
    <col width="6" customWidth="1" min="4" max="4"/>
    <col width="5" customWidth="1" min="5" max="5"/>
    <col width="7" customWidth="1" min="6" max="7"/>
    <col width="2.63636363636364" customWidth="1" min="8" max="82"/>
  </cols>
  <sheetData>
    <row r="1" ht="18" customHeight="1">
      <c r="A1" s="31" t="inlineStr">
        <is>
          <t>甘特图 · 任务级（66 行全量）</t>
        </is>
      </c>
    </row>
    <row r="2">
      <c r="A2" s="32" t="inlineStr">
        <is>
          <t>口径：横轴 75 个工作日（09-07~12-25，跳双休与国庆）；每行 = 一个功能点任务，条色按版本；红竖列 = 上线里程碑；黄竖列 = 今日。与「功能点评估（全栈）」1:1，改排期后需刷新。</t>
        </is>
      </c>
    </row>
    <row r="3" ht="14.5" customHeight="1">
      <c r="A3" s="33" t="inlineStr">
        <is>
          <t>WBS</t>
        </is>
      </c>
      <c r="B3" s="33" t="inlineStr">
        <is>
          <t>功能点</t>
        </is>
      </c>
      <c r="C3" s="33" t="inlineStr">
        <is>
          <t>任务</t>
        </is>
      </c>
      <c r="D3" s="33" t="inlineStr">
        <is>
          <t>版本</t>
        </is>
      </c>
      <c r="E3" s="33" t="inlineStr">
        <is>
          <t>人日</t>
        </is>
      </c>
      <c r="F3" s="33" t="inlineStr">
        <is>
          <t>开始</t>
        </is>
      </c>
      <c r="G3" s="33" t="inlineStr">
        <is>
          <t>结束</t>
        </is>
      </c>
      <c r="H3" s="34" t="inlineStr">
        <is>
          <t>9月</t>
        </is>
      </c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9" t="n"/>
      <c r="Z3" s="34" t="inlineStr">
        <is>
          <t>10月</t>
        </is>
      </c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9" t="n"/>
      <c r="AQ3" s="34" t="inlineStr">
        <is>
          <t>11月</t>
        </is>
      </c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  <c r="BB3" s="38" t="n"/>
      <c r="BC3" s="38" t="n"/>
      <c r="BD3" s="38" t="n"/>
      <c r="BE3" s="38" t="n"/>
      <c r="BF3" s="38" t="n"/>
      <c r="BG3" s="38" t="n"/>
      <c r="BH3" s="38" t="n"/>
      <c r="BI3" s="38" t="n"/>
      <c r="BJ3" s="38" t="n"/>
      <c r="BK3" s="39" t="n"/>
      <c r="BL3" s="34" t="inlineStr">
        <is>
          <t>12月</t>
        </is>
      </c>
      <c r="BM3" s="38" t="n"/>
      <c r="BN3" s="38" t="n"/>
      <c r="BO3" s="38" t="n"/>
      <c r="BP3" s="38" t="n"/>
      <c r="BQ3" s="38" t="n"/>
      <c r="BR3" s="38" t="n"/>
      <c r="BS3" s="38" t="n"/>
      <c r="BT3" s="38" t="n"/>
      <c r="BU3" s="38" t="n"/>
      <c r="BV3" s="38" t="n"/>
      <c r="BW3" s="38" t="n"/>
      <c r="BX3" s="38" t="n"/>
      <c r="BY3" s="38" t="n"/>
      <c r="BZ3" s="38" t="n"/>
      <c r="CA3" s="38" t="n"/>
      <c r="CB3" s="38" t="n"/>
      <c r="CC3" s="38" t="n"/>
      <c r="CD3" s="39" t="n"/>
    </row>
    <row r="4">
      <c r="H4" s="79" t="n">
        <v>46272</v>
      </c>
      <c r="I4" s="79" t="n">
        <v>46273</v>
      </c>
      <c r="J4" s="79" t="n">
        <v>46274</v>
      </c>
      <c r="K4" s="79" t="n">
        <v>46275</v>
      </c>
      <c r="L4" s="79" t="n">
        <v>46276</v>
      </c>
      <c r="M4" s="79" t="n">
        <v>46279</v>
      </c>
      <c r="N4" s="79" t="n">
        <v>46280</v>
      </c>
      <c r="O4" s="79" t="n">
        <v>46281</v>
      </c>
      <c r="P4" s="79" t="n">
        <v>46282</v>
      </c>
      <c r="Q4" s="79" t="n">
        <v>46283</v>
      </c>
      <c r="R4" s="79" t="n">
        <v>46286</v>
      </c>
      <c r="S4" s="79" t="n">
        <v>46287</v>
      </c>
      <c r="T4" s="79" t="n">
        <v>46288</v>
      </c>
      <c r="U4" s="79" t="n">
        <v>46289</v>
      </c>
      <c r="V4" s="79" t="n">
        <v>46290</v>
      </c>
      <c r="W4" s="79" t="n">
        <v>46293</v>
      </c>
      <c r="X4" s="79" t="n">
        <v>46294</v>
      </c>
      <c r="Y4" s="79" t="n">
        <v>46295</v>
      </c>
      <c r="Z4" s="79" t="n">
        <v>46303</v>
      </c>
      <c r="AA4" s="79" t="n">
        <v>46304</v>
      </c>
      <c r="AB4" s="79" t="n">
        <v>46307</v>
      </c>
      <c r="AC4" s="79" t="n">
        <v>46308</v>
      </c>
      <c r="AD4" s="79" t="n">
        <v>46309</v>
      </c>
      <c r="AE4" s="79" t="n">
        <v>46310</v>
      </c>
      <c r="AF4" s="79" t="n">
        <v>46311</v>
      </c>
      <c r="AG4" s="79" t="n">
        <v>46314</v>
      </c>
      <c r="AH4" s="79" t="n">
        <v>46315</v>
      </c>
      <c r="AI4" s="79" t="n">
        <v>46316</v>
      </c>
      <c r="AJ4" s="79" t="n">
        <v>46317</v>
      </c>
      <c r="AK4" s="79" t="n">
        <v>46318</v>
      </c>
      <c r="AL4" s="79" t="n">
        <v>46321</v>
      </c>
      <c r="AM4" s="79" t="n">
        <v>46322</v>
      </c>
      <c r="AN4" s="79" t="n">
        <v>46323</v>
      </c>
      <c r="AO4" s="79" t="n">
        <v>46324</v>
      </c>
      <c r="AP4" s="79" t="n">
        <v>46325</v>
      </c>
      <c r="AQ4" s="79" t="n">
        <v>46328</v>
      </c>
      <c r="AR4" s="79" t="n">
        <v>46329</v>
      </c>
      <c r="AS4" s="79" t="n">
        <v>46330</v>
      </c>
      <c r="AT4" s="79" t="n">
        <v>46331</v>
      </c>
      <c r="AU4" s="79" t="n">
        <v>46332</v>
      </c>
      <c r="AV4" s="79" t="n">
        <v>46335</v>
      </c>
      <c r="AW4" s="79" t="n">
        <v>46336</v>
      </c>
      <c r="AX4" s="79" t="n">
        <v>46337</v>
      </c>
      <c r="AY4" s="79" t="n">
        <v>46338</v>
      </c>
      <c r="AZ4" s="79" t="n">
        <v>46339</v>
      </c>
      <c r="BA4" s="79" t="n">
        <v>46342</v>
      </c>
      <c r="BB4" s="79" t="n">
        <v>46343</v>
      </c>
      <c r="BC4" s="79" t="n">
        <v>46344</v>
      </c>
      <c r="BD4" s="79" t="n">
        <v>46345</v>
      </c>
      <c r="BE4" s="79" t="n">
        <v>46346</v>
      </c>
      <c r="BF4" s="79" t="n">
        <v>46349</v>
      </c>
      <c r="BG4" s="79" t="n">
        <v>46350</v>
      </c>
      <c r="BH4" s="79" t="n">
        <v>46351</v>
      </c>
      <c r="BI4" s="79" t="n">
        <v>46352</v>
      </c>
      <c r="BJ4" s="79" t="n">
        <v>46353</v>
      </c>
      <c r="BK4" s="79" t="n">
        <v>46356</v>
      </c>
      <c r="BL4" s="79" t="n">
        <v>46357</v>
      </c>
      <c r="BM4" s="79" t="n">
        <v>46358</v>
      </c>
      <c r="BN4" s="79" t="n">
        <v>46359</v>
      </c>
      <c r="BO4" s="79" t="n">
        <v>46360</v>
      </c>
      <c r="BP4" s="79" t="n">
        <v>46363</v>
      </c>
      <c r="BQ4" s="79" t="n">
        <v>46364</v>
      </c>
      <c r="BR4" s="79" t="n">
        <v>46365</v>
      </c>
      <c r="BS4" s="79" t="n">
        <v>46366</v>
      </c>
      <c r="BT4" s="79" t="n">
        <v>46367</v>
      </c>
      <c r="BU4" s="79" t="n">
        <v>46370</v>
      </c>
      <c r="BV4" s="79" t="n">
        <v>46371</v>
      </c>
      <c r="BW4" s="79" t="n">
        <v>46372</v>
      </c>
      <c r="BX4" s="79" t="n">
        <v>46373</v>
      </c>
      <c r="BY4" s="79" t="n">
        <v>46374</v>
      </c>
      <c r="BZ4" s="79" t="n">
        <v>46377</v>
      </c>
      <c r="CA4" s="79" t="n">
        <v>46378</v>
      </c>
      <c r="CB4" s="79" t="n">
        <v>46379</v>
      </c>
      <c r="CC4" s="79" t="n">
        <v>46380</v>
      </c>
      <c r="CD4" s="79" t="n">
        <v>46381</v>
      </c>
    </row>
    <row r="5">
      <c r="A5" s="37" t="inlineStr">
        <is>
          <t>前置（09-07 ~ 09-14 · 已完成）</t>
        </is>
      </c>
      <c r="B5" s="38" t="n"/>
      <c r="C5" s="38" t="n"/>
      <c r="D5" s="38" t="n"/>
      <c r="E5" s="38" t="n"/>
      <c r="F5" s="38" t="n"/>
      <c r="G5" s="39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</row>
    <row r="6">
      <c r="A6" s="41" t="inlineStr">
        <is>
          <t>A1</t>
        </is>
      </c>
      <c r="B6" s="42" t="inlineStr">
        <is>
          <t>—</t>
        </is>
      </c>
      <c r="C6" s="43" t="inlineStr">
        <is>
          <t>原型走查与字段确认（四轮评审至第 3 次沟通·115 页口径）</t>
        </is>
      </c>
      <c r="D6" s="42" t="inlineStr">
        <is>
          <t>前置</t>
        </is>
      </c>
      <c r="E6" s="42" t="n">
        <v>1.5</v>
      </c>
      <c r="F6" s="80" t="n">
        <v>46272</v>
      </c>
      <c r="G6" s="80" t="n">
        <v>46273</v>
      </c>
    </row>
    <row r="7">
      <c r="A7" s="41" t="inlineStr">
        <is>
          <t>A1</t>
        </is>
      </c>
      <c r="B7" s="42" t="inlineStr">
        <is>
          <t>—</t>
        </is>
      </c>
      <c r="C7" s="43" t="inlineStr">
        <is>
          <t>计费规则与单据流程确认（三段式计费 09-11 拍板定版）</t>
        </is>
      </c>
      <c r="D7" s="42" t="inlineStr">
        <is>
          <t>前置</t>
        </is>
      </c>
      <c r="E7" s="42" t="n">
        <v>2</v>
      </c>
      <c r="F7" s="80" t="n">
        <v>46274</v>
      </c>
      <c r="G7" s="80" t="n">
        <v>46275</v>
      </c>
    </row>
    <row r="8">
      <c r="A8" s="41" t="inlineStr">
        <is>
          <t>A1</t>
        </is>
      </c>
      <c r="B8" s="42" t="inlineStr">
        <is>
          <t>—</t>
        </is>
      </c>
      <c r="C8" s="43" t="inlineStr">
        <is>
          <t>PRD 编写（P2-R01 V1.0·10 模块 UC89/AC55）</t>
        </is>
      </c>
      <c r="D8" s="42" t="inlineStr">
        <is>
          <t>前置</t>
        </is>
      </c>
      <c r="E8" s="42" t="n">
        <v>1.5</v>
      </c>
      <c r="F8" s="80" t="n">
        <v>46274</v>
      </c>
      <c r="G8" s="80" t="n">
        <v>46275</v>
      </c>
    </row>
    <row r="9">
      <c r="A9" s="41" t="inlineStr">
        <is>
          <t>A1</t>
        </is>
      </c>
      <c r="B9" s="42" t="inlineStr">
        <is>
          <t>—</t>
        </is>
      </c>
      <c r="C9" s="43" t="inlineStr">
        <is>
          <t>PRD 评审与范围冻结</t>
        </is>
      </c>
      <c r="D9" s="42" t="inlineStr">
        <is>
          <t>前置</t>
        </is>
      </c>
      <c r="E9" s="42" t="n">
        <v>1</v>
      </c>
      <c r="F9" s="80" t="n">
        <v>46276</v>
      </c>
      <c r="G9" s="80" t="n">
        <v>46276</v>
      </c>
    </row>
    <row r="10">
      <c r="A10" s="41" t="inlineStr">
        <is>
          <t>A2</t>
        </is>
      </c>
      <c r="B10" s="42" t="inlineStr">
        <is>
          <t>—</t>
        </is>
      </c>
      <c r="C10" s="43" t="inlineStr">
        <is>
          <t>原型按评审反馈修订</t>
        </is>
      </c>
      <c r="D10" s="42" t="inlineStr">
        <is>
          <t>前置</t>
        </is>
      </c>
      <c r="E10" s="42" t="n">
        <v>0.5</v>
      </c>
      <c r="F10" s="80" t="n">
        <v>46275</v>
      </c>
      <c r="G10" s="80" t="n">
        <v>46275</v>
      </c>
    </row>
    <row r="11">
      <c r="A11" s="41" t="inlineStr">
        <is>
          <t>A2</t>
        </is>
      </c>
      <c r="B11" s="42" t="inlineStr">
        <is>
          <t>—</t>
        </is>
      </c>
      <c r="C11" s="43" t="inlineStr">
        <is>
          <t>原型评审确认与定稿</t>
        </is>
      </c>
      <c r="D11" s="42" t="inlineStr">
        <is>
          <t>前置</t>
        </is>
      </c>
      <c r="E11" s="42" t="n">
        <v>0.5</v>
      </c>
      <c r="F11" s="80" t="n">
        <v>46276</v>
      </c>
      <c r="G11" s="80" t="n">
        <v>46276</v>
      </c>
    </row>
    <row r="12">
      <c r="A12" s="41" t="inlineStr">
        <is>
          <t>B0</t>
        </is>
      </c>
      <c r="B12" s="42" t="inlineStr">
        <is>
          <t>—</t>
        </is>
      </c>
      <c r="C12" s="43" t="inlineStr">
        <is>
          <t>工程脚手架与 CI/CD</t>
        </is>
      </c>
      <c r="D12" s="42" t="inlineStr">
        <is>
          <t>前置</t>
        </is>
      </c>
      <c r="E12" s="42" t="n">
        <v>1.5</v>
      </c>
      <c r="F12" s="80" t="n">
        <v>46272</v>
      </c>
      <c r="G12" s="80" t="n">
        <v>46273</v>
      </c>
    </row>
    <row r="13">
      <c r="A13" s="41" t="inlineStr">
        <is>
          <t>B0</t>
        </is>
      </c>
      <c r="B13" s="42" t="inlineStr">
        <is>
          <t>—</t>
        </is>
      </c>
      <c r="C13" s="43" t="inlineStr">
        <is>
          <t>登录页+默认登录态+框架权限（企微扫码·退出键域）</t>
        </is>
      </c>
      <c r="D13" s="42" t="inlineStr">
        <is>
          <t>前置</t>
        </is>
      </c>
      <c r="E13" s="42" t="n">
        <v>0.75</v>
      </c>
      <c r="F13" s="80" t="n">
        <v>46274</v>
      </c>
      <c r="G13" s="80" t="n">
        <v>46274</v>
      </c>
    </row>
    <row r="14">
      <c r="A14" s="41" t="inlineStr">
        <is>
          <t>B0</t>
        </is>
      </c>
      <c r="B14" s="42" t="inlineStr">
        <is>
          <t>—</t>
        </is>
      </c>
      <c r="C14" s="43" t="inlineStr">
        <is>
          <t>通用组件（单据/列表/导入导出/弹窗/四段式详情双列）</t>
        </is>
      </c>
      <c r="D14" s="42" t="inlineStr">
        <is>
          <t>前置</t>
        </is>
      </c>
      <c r="E14" s="42" t="n">
        <v>3.5</v>
      </c>
      <c r="F14" s="80" t="n">
        <v>46274</v>
      </c>
      <c r="G14" s="80" t="n">
        <v>46275</v>
      </c>
    </row>
    <row r="15">
      <c r="A15" s="45" t="inlineStr">
        <is>
          <t>V1.0 买卖版 ★ 10-16 上线</t>
        </is>
      </c>
      <c r="B15" s="38" t="n"/>
      <c r="C15" s="38" t="n"/>
      <c r="D15" s="38" t="n"/>
      <c r="E15" s="38" t="n"/>
      <c r="F15" s="38" t="n"/>
      <c r="G15" s="39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  <c r="BI15" s="46" t="n"/>
      <c r="BJ15" s="46" t="n"/>
      <c r="BK15" s="46" t="n"/>
      <c r="BL15" s="46" t="n"/>
      <c r="BM15" s="46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n"/>
      <c r="BW15" s="46" t="n"/>
      <c r="BX15" s="46" t="n"/>
      <c r="BY15" s="46" t="n"/>
      <c r="BZ15" s="46" t="n"/>
      <c r="CA15" s="46" t="n"/>
      <c r="CB15" s="46" t="n"/>
      <c r="CC15" s="46" t="n"/>
      <c r="CD15" s="46" t="n"/>
    </row>
    <row r="16">
      <c r="A16" s="41" t="inlineStr">
        <is>
          <t>B0</t>
        </is>
      </c>
      <c r="B16" s="42" t="inlineStr">
        <is>
          <t>—</t>
        </is>
      </c>
      <c r="C16" s="43" t="inlineStr">
        <is>
          <t>站内信（顶栏通知铃铛·四类消息·已读键域）</t>
        </is>
      </c>
      <c r="D16" s="42" t="inlineStr">
        <is>
          <t>V1.0</t>
        </is>
      </c>
      <c r="E16" s="42" t="n">
        <v>0.5</v>
      </c>
      <c r="F16" s="80" t="n">
        <v>46293</v>
      </c>
      <c r="G16" s="80" t="n">
        <v>46293</v>
      </c>
    </row>
    <row r="17">
      <c r="A17" s="41" t="inlineStr">
        <is>
          <t>B1</t>
        </is>
      </c>
      <c r="B17" t="inlineStr">
        <is>
          <t>FP1-01</t>
        </is>
      </c>
      <c r="C17" t="inlineStr">
        <is>
          <t>项目档案：页面 + 表结构与接口</t>
        </is>
      </c>
      <c r="D17" t="inlineStr">
        <is>
          <t>V1.0</t>
        </is>
      </c>
      <c r="E17" t="n">
        <v>1.5</v>
      </c>
      <c r="F17" s="81" t="n">
        <v>46275</v>
      </c>
      <c r="G17" s="81" t="n">
        <v>46276</v>
      </c>
    </row>
    <row r="18">
      <c r="A18" s="41" t="inlineStr">
        <is>
          <t>B1</t>
        </is>
      </c>
      <c r="B18" s="42" t="inlineStr">
        <is>
          <t>FP1-02</t>
        </is>
      </c>
      <c r="C18" s="43" t="inlineStr">
        <is>
          <t>客商管理：客户/供应商/客商兼供应商（含开票资料）</t>
        </is>
      </c>
      <c r="D18" s="42" t="inlineStr">
        <is>
          <t>V1.0</t>
        </is>
      </c>
      <c r="E18" s="42" t="n">
        <v>2</v>
      </c>
      <c r="F18" s="80" t="n">
        <v>46279</v>
      </c>
      <c r="G18" s="80" t="n">
        <v>46280</v>
      </c>
    </row>
    <row r="19">
      <c r="A19" s="41" t="inlineStr">
        <is>
          <t>B1</t>
        </is>
      </c>
      <c r="B19" t="inlineStr">
        <is>
          <t>FP1-03</t>
        </is>
      </c>
      <c r="C19" t="inlineStr">
        <is>
          <t>产品档案：物料类型×分类两级+四参考价+供应商税率+三段式租价（器具/零部件两档案已合并）</t>
        </is>
      </c>
      <c r="D19" t="inlineStr">
        <is>
          <t>V1.0</t>
        </is>
      </c>
      <c r="E19" t="n">
        <v>2</v>
      </c>
      <c r="F19" s="81" t="n">
        <v>46281</v>
      </c>
      <c r="G19" s="81" t="n">
        <v>46282</v>
      </c>
    </row>
    <row r="20">
      <c r="A20" s="41" t="inlineStr">
        <is>
          <t>B1</t>
        </is>
      </c>
      <c r="B20" s="42" t="inlineStr">
        <is>
          <t>FP1-06</t>
        </is>
      </c>
      <c r="C20" s="43" t="inlineStr">
        <is>
          <t>库位档案：仓/区/位三级 + XNC 客户虚拟仓</t>
        </is>
      </c>
      <c r="D20" s="42" t="inlineStr">
        <is>
          <t>V1.0</t>
        </is>
      </c>
      <c r="E20" s="42" t="n">
        <v>1</v>
      </c>
      <c r="F20" s="80" t="n">
        <v>46283</v>
      </c>
      <c r="G20" s="80" t="n">
        <v>46283</v>
      </c>
    </row>
    <row r="21">
      <c r="A21" s="41" t="inlineStr">
        <is>
          <t>B2</t>
        </is>
      </c>
      <c r="B21" s="42" t="inlineStr">
        <is>
          <t>FP2-01</t>
        </is>
      </c>
      <c r="C21" s="43" t="inlineStr">
        <is>
          <t>项目编码规则：规则引擎 + 配置</t>
        </is>
      </c>
      <c r="D21" s="42" t="inlineStr">
        <is>
          <t>V1.0</t>
        </is>
      </c>
      <c r="E21" s="42" t="n">
        <v>0.5</v>
      </c>
      <c r="F21" s="80" t="n">
        <v>46275</v>
      </c>
      <c r="G21" s="80" t="n">
        <v>46275</v>
      </c>
    </row>
    <row r="22">
      <c r="A22" s="41" t="inlineStr">
        <is>
          <t>B2</t>
        </is>
      </c>
      <c r="B22" s="42" t="inlineStr">
        <is>
          <t>FP2-02</t>
        </is>
      </c>
      <c r="C22" s="43" t="inlineStr">
        <is>
          <t>上下游绑定：多对多关系维护</t>
        </is>
      </c>
      <c r="D22" s="42" t="inlineStr">
        <is>
          <t>V1.0</t>
        </is>
      </c>
      <c r="E22" s="42" t="n">
        <v>1</v>
      </c>
      <c r="F22" s="80" t="n">
        <v>46276</v>
      </c>
      <c r="G22" s="80" t="n">
        <v>46276</v>
      </c>
    </row>
    <row r="23">
      <c r="A23" s="41" t="inlineStr">
        <is>
          <t>B3</t>
        </is>
      </c>
      <c r="B23" t="inlineStr">
        <is>
          <t>FP3-01</t>
        </is>
      </c>
      <c r="C23" t="inlineStr">
        <is>
          <t>采购入库单（执行）：录单 + 入库过账与库存更新</t>
        </is>
      </c>
      <c r="D23" t="inlineStr">
        <is>
          <t>V1.0</t>
        </is>
      </c>
      <c r="E23" t="n">
        <v>2</v>
      </c>
      <c r="F23" s="81" t="n">
        <v>46276</v>
      </c>
      <c r="G23" s="81" t="n">
        <v>46279</v>
      </c>
    </row>
    <row r="24">
      <c r="A24" s="41" t="inlineStr">
        <is>
          <t>B3</t>
        </is>
      </c>
      <c r="B24" s="42" t="inlineStr">
        <is>
          <t>FP3-06</t>
        </is>
      </c>
      <c r="C24" s="43" t="inlineStr">
        <is>
          <t>库存查询：五态 + 组合视图 + 客户在租下钻 + 资产轨迹 + 租入态筛选</t>
        </is>
      </c>
      <c r="D24" s="42" t="inlineStr">
        <is>
          <t>V1.0</t>
        </is>
      </c>
      <c r="E24" s="42" t="n">
        <v>3</v>
      </c>
      <c r="F24" s="80" t="n">
        <v>46280</v>
      </c>
      <c r="G24" s="80" t="n">
        <v>46281</v>
      </c>
    </row>
    <row r="25">
      <c r="A25" s="41" t="inlineStr">
        <is>
          <t>B3</t>
        </is>
      </c>
      <c r="B25" t="inlineStr">
        <is>
          <t>（待补）</t>
        </is>
      </c>
      <c r="C25" t="inlineStr">
        <is>
          <t>销售出库单：录单 + 出库过账（买卖线）</t>
        </is>
      </c>
      <c r="D25" t="inlineStr">
        <is>
          <t>V1.0</t>
        </is>
      </c>
      <c r="E25" t="n">
        <v>2</v>
      </c>
      <c r="F25" s="81" t="n">
        <v>46282</v>
      </c>
      <c r="G25" s="81" t="n">
        <v>46283</v>
      </c>
    </row>
    <row r="26">
      <c r="A26" s="41" t="inlineStr">
        <is>
          <t>B3</t>
        </is>
      </c>
      <c r="B26" s="42" t="inlineStr">
        <is>
          <t>（待补）</t>
        </is>
      </c>
      <c r="C26" s="43" t="inlineStr">
        <is>
          <t>其他入库单：盘盈/退货/其他（期初走数据迁移导库·无期初入口）</t>
        </is>
      </c>
      <c r="D26" s="42" t="inlineStr">
        <is>
          <t>V1.0</t>
        </is>
      </c>
      <c r="E26" s="42" t="n">
        <v>1.5</v>
      </c>
      <c r="F26" s="80" t="n">
        <v>46286</v>
      </c>
      <c r="G26" s="80" t="n">
        <v>46287</v>
      </c>
    </row>
    <row r="27">
      <c r="A27" s="41" t="inlineStr">
        <is>
          <t>B3</t>
        </is>
      </c>
      <c r="B27" s="42" t="inlineStr">
        <is>
          <t>（待补）</t>
        </is>
      </c>
      <c r="C27" s="43" t="inlineStr">
        <is>
          <t>其他出库单：报废/盘亏/赔偿核销/其他</t>
        </is>
      </c>
      <c r="D27" s="42" t="inlineStr">
        <is>
          <t>V1.0</t>
        </is>
      </c>
      <c r="E27" s="42" t="n">
        <v>1.5</v>
      </c>
      <c r="F27" s="80" t="n">
        <v>46288</v>
      </c>
      <c r="G27" s="80" t="n">
        <v>46289</v>
      </c>
    </row>
    <row r="28">
      <c r="A28" s="41" t="inlineStr">
        <is>
          <t>B3</t>
        </is>
      </c>
      <c r="B28" s="42" t="inlineStr">
        <is>
          <t>（待补）</t>
        </is>
      </c>
      <c r="C28" s="43" t="inlineStr">
        <is>
          <t>库存调拨单：库间调拨 + 过账</t>
        </is>
      </c>
      <c r="D28" s="42" t="inlineStr">
        <is>
          <t>V1.0</t>
        </is>
      </c>
      <c r="E28" s="42" t="n">
        <v>1.5</v>
      </c>
      <c r="F28" s="80" t="n">
        <v>46290</v>
      </c>
      <c r="G28" s="80" t="n">
        <v>46293</v>
      </c>
    </row>
    <row r="29">
      <c r="A29" s="41" t="inlineStr">
        <is>
          <t>B5</t>
        </is>
      </c>
      <c r="B29" t="inlineStr">
        <is>
          <t>FP5-01</t>
        </is>
      </c>
      <c r="C29" t="inlineStr">
        <is>
          <t>销售订单（代下单）：统一订单列表+附件上传+关闭/提前终止</t>
        </is>
      </c>
      <c r="D29" t="inlineStr">
        <is>
          <t>V1.0</t>
        </is>
      </c>
      <c r="E29" t="n">
        <v>2</v>
      </c>
      <c r="F29" s="81" t="n">
        <v>46276</v>
      </c>
      <c r="G29" s="81" t="n">
        <v>46279</v>
      </c>
    </row>
    <row r="30">
      <c r="A30" s="41" t="inlineStr">
        <is>
          <t>B5</t>
        </is>
      </c>
      <c r="B30" s="42" t="inlineStr">
        <is>
          <t>FP5-02</t>
        </is>
      </c>
      <c r="C30" s="43" t="inlineStr">
        <is>
          <t>订单审核：工作台 + 审核流转</t>
        </is>
      </c>
      <c r="D30" s="42" t="inlineStr">
        <is>
          <t>V1.0</t>
        </is>
      </c>
      <c r="E30" s="42" t="n">
        <v>1</v>
      </c>
      <c r="F30" s="80" t="n">
        <v>46281</v>
      </c>
      <c r="G30" s="80" t="n">
        <v>46281</v>
      </c>
    </row>
    <row r="31">
      <c r="A31" s="41" t="inlineStr">
        <is>
          <t>B6</t>
        </is>
      </c>
      <c r="B31" s="42" t="inlineStr">
        <is>
          <t>FP6-01</t>
        </is>
      </c>
      <c r="C31" s="43" t="inlineStr">
        <is>
          <t>应收账单：六来源（租赁费/销售费/丢损赔偿/供应商应收/押金/预收）自动汇总+手填</t>
        </is>
      </c>
      <c r="D31" s="42" t="inlineStr">
        <is>
          <t>V1.0</t>
        </is>
      </c>
      <c r="E31" s="42" t="n">
        <v>3</v>
      </c>
      <c r="F31" s="80" t="n">
        <v>46282</v>
      </c>
      <c r="G31" s="80" t="n">
        <v>46286</v>
      </c>
    </row>
    <row r="32">
      <c r="A32" s="41" t="inlineStr">
        <is>
          <t>B6</t>
        </is>
      </c>
      <c r="B32" s="42" t="inlineStr">
        <is>
          <t>FP6-03</t>
        </is>
      </c>
      <c r="C32" s="43" t="inlineStr">
        <is>
          <t>回款登记：到账录入 + 关联</t>
        </is>
      </c>
      <c r="D32" s="42" t="inlineStr">
        <is>
          <t>V1.0</t>
        </is>
      </c>
      <c r="E32" s="42" t="n">
        <v>1.5</v>
      </c>
      <c r="F32" s="80" t="n">
        <v>46287</v>
      </c>
      <c r="G32" s="80" t="n">
        <v>46288</v>
      </c>
    </row>
    <row r="33">
      <c r="A33" s="41" t="inlineStr">
        <is>
          <t>B7</t>
        </is>
      </c>
      <c r="B33" t="inlineStr">
        <is>
          <t>FP7-01</t>
        </is>
      </c>
      <c r="C33" t="inlineStr">
        <is>
          <t>组织与权限：7 角色+可审单据矩阵 16 类+数据权限三档（我方账号·客户/供应商账号本版不做）</t>
        </is>
      </c>
      <c r="D33" t="inlineStr">
        <is>
          <t>V1.0</t>
        </is>
      </c>
      <c r="E33" t="n">
        <v>1.5</v>
      </c>
      <c r="F33" s="81" t="n">
        <v>46289</v>
      </c>
      <c r="G33" s="81" t="n">
        <v>46290</v>
      </c>
    </row>
    <row r="34">
      <c r="A34" s="41" t="inlineStr">
        <is>
          <t>B8</t>
        </is>
      </c>
      <c r="B34" s="42" t="inlineStr">
        <is>
          <t>FP8-01</t>
        </is>
      </c>
      <c r="C34" s="43" t="inlineStr">
        <is>
          <t>采购订单：新建 + 列表（独立采购线·不以销定采）</t>
        </is>
      </c>
      <c r="D34" s="42" t="inlineStr">
        <is>
          <t>V1.0</t>
        </is>
      </c>
      <c r="E34" s="42" t="n">
        <v>2</v>
      </c>
      <c r="F34" s="80" t="n">
        <v>46286</v>
      </c>
      <c r="G34" s="80" t="n">
        <v>46287</v>
      </c>
    </row>
    <row r="35">
      <c r="A35" s="41" t="inlineStr">
        <is>
          <t>B8</t>
        </is>
      </c>
      <c r="B35" t="inlineStr">
        <is>
          <t>FP8-02</t>
        </is>
      </c>
      <c r="C35" t="inlineStr">
        <is>
          <t>采购订单审核：状态流</t>
        </is>
      </c>
      <c r="D35" t="inlineStr">
        <is>
          <t>V1.0</t>
        </is>
      </c>
      <c r="E35" t="n">
        <v>1</v>
      </c>
      <c r="F35" s="81" t="n">
        <v>46288</v>
      </c>
      <c r="G35" s="81" t="n">
        <v>46288</v>
      </c>
    </row>
    <row r="36">
      <c r="A36" s="41" t="inlineStr">
        <is>
          <t>B8</t>
        </is>
      </c>
      <c r="B36" s="42" t="inlineStr">
        <is>
          <t>FP8-03</t>
        </is>
      </c>
      <c r="C36" s="43" t="inlineStr">
        <is>
          <t>采购入库（发起）：到货登记关联采购订单</t>
        </is>
      </c>
      <c r="D36" s="42" t="inlineStr">
        <is>
          <t>V1.0</t>
        </is>
      </c>
      <c r="E36" s="42" t="n">
        <v>1.5</v>
      </c>
      <c r="F36" s="80" t="n">
        <v>46289</v>
      </c>
      <c r="G36" s="80" t="n">
        <v>46290</v>
      </c>
    </row>
    <row r="37">
      <c r="A37" s="41" t="inlineStr">
        <is>
          <t>B8</t>
        </is>
      </c>
      <c r="B37" s="42" t="inlineStr">
        <is>
          <t>FP8-04</t>
        </is>
      </c>
      <c r="C37" s="43" t="inlineStr">
        <is>
          <t>销售订单（买卖线）：客户购买订单</t>
        </is>
      </c>
      <c r="D37" s="42" t="inlineStr">
        <is>
          <t>V1.0</t>
        </is>
      </c>
      <c r="E37" s="42" t="n">
        <v>1.5</v>
      </c>
      <c r="F37" s="80" t="n">
        <v>46293</v>
      </c>
      <c r="G37" s="80" t="n">
        <v>46294</v>
      </c>
    </row>
    <row r="38">
      <c r="A38" s="47" t="inlineStr">
        <is>
          <t>V1.1 租赁版（含移动端 H5）★ 11-17 上线</t>
        </is>
      </c>
      <c r="B38" s="38" t="n"/>
      <c r="C38" s="38" t="n"/>
      <c r="D38" s="38" t="n"/>
      <c r="E38" s="38" t="n"/>
      <c r="F38" s="38" t="n"/>
      <c r="G38" s="39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48" t="n"/>
      <c r="AZ38" s="48" t="n"/>
      <c r="BA38" s="48" t="n"/>
      <c r="BB38" s="48" t="n"/>
      <c r="BC38" s="48" t="n"/>
      <c r="BD38" s="48" t="n"/>
      <c r="BE38" s="48" t="n"/>
      <c r="BF38" s="48" t="n"/>
      <c r="BG38" s="48" t="n"/>
      <c r="BH38" s="48" t="n"/>
      <c r="BI38" s="48" t="n"/>
      <c r="BJ38" s="48" t="n"/>
      <c r="BK38" s="48" t="n"/>
      <c r="BL38" s="48" t="n"/>
      <c r="BM38" s="48" t="n"/>
      <c r="BN38" s="48" t="n"/>
      <c r="BO38" s="48" t="n"/>
      <c r="BP38" s="48" t="n"/>
      <c r="BQ38" s="48" t="n"/>
      <c r="BR38" s="48" t="n"/>
      <c r="BS38" s="48" t="n"/>
      <c r="BT38" s="48" t="n"/>
      <c r="BU38" s="48" t="n"/>
      <c r="BV38" s="48" t="n"/>
      <c r="BW38" s="48" t="n"/>
      <c r="BX38" s="48" t="n"/>
      <c r="BY38" s="48" t="n"/>
      <c r="BZ38" s="48" t="n"/>
      <c r="CA38" s="48" t="n"/>
      <c r="CB38" s="48" t="n"/>
      <c r="CC38" s="48" t="n"/>
      <c r="CD38" s="48" t="n"/>
    </row>
    <row r="39">
      <c r="A39" s="41" t="inlineStr">
        <is>
          <t>B0</t>
        </is>
      </c>
      <c r="B39" t="inlineStr">
        <is>
          <t>—</t>
        </is>
      </c>
      <c r="C39" t="inlineStr">
        <is>
          <t>移动端 H5 五页（登录/待办审批/审批详情/库存查询/我的·企微）</t>
        </is>
      </c>
      <c r="D39" t="inlineStr">
        <is>
          <t>V1.1</t>
        </is>
      </c>
      <c r="E39" t="n">
        <v>2.5</v>
      </c>
      <c r="F39" s="81" t="n">
        <v>46314</v>
      </c>
      <c r="G39" s="81" t="n">
        <v>46318</v>
      </c>
    </row>
    <row r="40">
      <c r="A40" s="41" t="inlineStr">
        <is>
          <t>B1</t>
        </is>
      </c>
      <c r="B40" s="42" t="inlineStr">
        <is>
          <t>FP1-05</t>
        </is>
      </c>
      <c r="C40" s="43" t="inlineStr">
        <is>
          <t>子母件 BOM：维护页 + 版本管理与配比校验</t>
        </is>
      </c>
      <c r="D40" s="42" t="inlineStr">
        <is>
          <t>V1.1</t>
        </is>
      </c>
      <c r="E40" s="42" t="n">
        <v>3</v>
      </c>
      <c r="F40" s="80" t="n">
        <v>46314</v>
      </c>
      <c r="G40" s="80" t="n">
        <v>46316</v>
      </c>
    </row>
    <row r="41">
      <c r="A41" s="41" t="inlineStr">
        <is>
          <t>B2</t>
        </is>
      </c>
      <c r="B41" s="42" t="inlineStr">
        <is>
          <t>FP2-03</t>
        </is>
      </c>
      <c r="C41" s="43" t="inlineStr">
        <is>
          <t>项目看板：图表页 + 统计接口</t>
        </is>
      </c>
      <c r="D41" s="42" t="inlineStr">
        <is>
          <t>V1.1</t>
        </is>
      </c>
      <c r="E41" s="42" t="n">
        <v>1.5</v>
      </c>
      <c r="F41" s="80" t="n">
        <v>46290</v>
      </c>
      <c r="G41" s="80" t="n">
        <v>46293</v>
      </c>
    </row>
    <row r="42">
      <c r="A42" s="41" t="inlineStr">
        <is>
          <t>B2</t>
        </is>
      </c>
      <c r="B42" s="42" t="inlineStr">
        <is>
          <t>FP2-04</t>
        </is>
      </c>
      <c r="C42" s="43" t="inlineStr">
        <is>
          <t>明细查看：从汇总数据进入单据明细</t>
        </is>
      </c>
      <c r="D42" s="42" t="inlineStr">
        <is>
          <t>V1.1</t>
        </is>
      </c>
      <c r="E42" s="42" t="n">
        <v>1.5</v>
      </c>
      <c r="F42" s="80" t="n">
        <v>46294</v>
      </c>
      <c r="G42" s="80" t="n">
        <v>46295</v>
      </c>
    </row>
    <row r="43">
      <c r="A43" s="41" t="inlineStr">
        <is>
          <t>B2</t>
        </is>
      </c>
      <c r="B43" s="42" t="inlineStr">
        <is>
          <t>（待补）</t>
        </is>
      </c>
      <c r="C43" s="43" t="inlineStr">
        <is>
          <t>我的待办：16 类待办聚合入口</t>
        </is>
      </c>
      <c r="D43" s="42" t="inlineStr">
        <is>
          <t>V1.1</t>
        </is>
      </c>
      <c r="E43" s="42" t="n">
        <v>2</v>
      </c>
      <c r="F43" s="80" t="n">
        <v>46304</v>
      </c>
      <c r="G43" s="80" t="n">
        <v>46308</v>
      </c>
    </row>
    <row r="44">
      <c r="A44" s="41" t="inlineStr">
        <is>
          <t>B3</t>
        </is>
      </c>
      <c r="B44" s="42" t="inlineStr">
        <is>
          <t>FP3-03</t>
        </is>
      </c>
      <c r="C44" s="43" t="inlineStr">
        <is>
          <t>租赁出库单：录单 + 审核 + 退回对比</t>
        </is>
      </c>
      <c r="D44" s="42" t="inlineStr">
        <is>
          <t>V1.1</t>
        </is>
      </c>
      <c r="E44" s="42" t="n">
        <v>2</v>
      </c>
      <c r="F44" s="80" t="n">
        <v>46321</v>
      </c>
      <c r="G44" s="80" t="n">
        <v>46322</v>
      </c>
    </row>
    <row r="45">
      <c r="A45" s="41" t="inlineStr">
        <is>
          <t>B3</t>
        </is>
      </c>
      <c r="B45" t="inlineStr">
        <is>
          <t>FP3-04</t>
        </is>
      </c>
      <c r="C45" t="inlineStr">
        <is>
          <t>退租入库单：客户退租统一入口·按零件入库·完好分流（自有回库/租入归还）</t>
        </is>
      </c>
      <c r="D45" t="inlineStr">
        <is>
          <t>V1.1</t>
        </is>
      </c>
      <c r="E45" t="n">
        <v>2.5</v>
      </c>
      <c r="F45" s="81" t="n">
        <v>46323</v>
      </c>
      <c r="G45" s="81" t="n">
        <v>46325</v>
      </c>
    </row>
    <row r="46">
      <c r="A46" s="41" t="inlineStr">
        <is>
          <t>B3</t>
        </is>
      </c>
      <c r="B46" s="42" t="inlineStr">
        <is>
          <t>FP3-05</t>
        </is>
      </c>
      <c r="C46" s="43" t="inlineStr">
        <is>
          <t>盘点单：零件/组合双口径 + 盘盈亏过账</t>
        </is>
      </c>
      <c r="D46" s="42" t="inlineStr">
        <is>
          <t>V1.1</t>
        </is>
      </c>
      <c r="E46" s="42" t="n">
        <v>3</v>
      </c>
      <c r="F46" s="80" t="n">
        <v>46309</v>
      </c>
      <c r="G46" s="80" t="n">
        <v>46311</v>
      </c>
    </row>
    <row r="47">
      <c r="A47" s="41" t="inlineStr">
        <is>
          <t>B4</t>
        </is>
      </c>
      <c r="B47" s="42" t="inlineStr">
        <is>
          <t>FP4-03</t>
        </is>
      </c>
      <c r="C47" s="43" t="inlineStr">
        <is>
          <t>计费与租价管理：三段式计费（方式+周期+数值）·四参考价口径</t>
        </is>
      </c>
      <c r="D47" s="42" t="inlineStr">
        <is>
          <t>V1.1</t>
        </is>
      </c>
      <c r="E47" s="42" t="n">
        <v>3</v>
      </c>
      <c r="F47" s="80" t="n">
        <v>46307</v>
      </c>
      <c r="G47" s="80" t="n">
        <v>46310</v>
      </c>
    </row>
    <row r="48">
      <c r="A48" s="41" t="inlineStr">
        <is>
          <t>B4</t>
        </is>
      </c>
      <c r="B48" t="inlineStr">
        <is>
          <t>FP4-05</t>
        </is>
      </c>
      <c r="C48" t="inlineStr">
        <is>
          <t>租赁单：三段计费+优先查库存（不足双按钮生成采购订单/租入单）+退回进度+背靠背草稿</t>
        </is>
      </c>
      <c r="D48" t="inlineStr">
        <is>
          <t>V1.1</t>
        </is>
      </c>
      <c r="E48" t="n">
        <v>3</v>
      </c>
      <c r="F48" s="81" t="n">
        <v>46314</v>
      </c>
      <c r="G48" s="81" t="n">
        <v>46316</v>
      </c>
    </row>
    <row r="49">
      <c r="A49" s="41" t="inlineStr">
        <is>
          <t>B6</t>
        </is>
      </c>
      <c r="B49" s="42" t="inlineStr">
        <is>
          <t>FP6-06</t>
        </is>
      </c>
      <c r="C49" s="43" t="inlineStr">
        <is>
          <t>应付账单：五来源（采购/租金/赔付供应商/对客户/无订单预付）+押金退还+退款口径</t>
        </is>
      </c>
      <c r="D49" s="42" t="inlineStr">
        <is>
          <t>V1.1</t>
        </is>
      </c>
      <c r="E49" s="42" t="n">
        <v>2.5</v>
      </c>
      <c r="F49" s="80" t="n">
        <v>46282</v>
      </c>
      <c r="G49" s="80" t="n">
        <v>46287</v>
      </c>
    </row>
    <row r="50">
      <c r="A50" s="41" t="inlineStr">
        <is>
          <t>B6</t>
        </is>
      </c>
      <c r="B50" s="42" t="inlineStr">
        <is>
          <t>FP6-07</t>
        </is>
      </c>
      <c r="C50" s="43" t="inlineStr">
        <is>
          <t>付款登记：银行付款录入+分期计划，关联应付</t>
        </is>
      </c>
      <c r="D50" s="42" t="inlineStr">
        <is>
          <t>V1.1</t>
        </is>
      </c>
      <c r="E50" s="42" t="n">
        <v>1.5</v>
      </c>
      <c r="F50" s="80" t="n">
        <v>46288</v>
      </c>
      <c r="G50" s="80" t="n">
        <v>46289</v>
      </c>
    </row>
    <row r="51">
      <c r="A51" s="41" t="inlineStr">
        <is>
          <t>V2.0 深化版 ★ 12-07 上线</t>
        </is>
      </c>
      <c r="B51" s="38" t="n"/>
      <c r="C51" s="38" t="n"/>
      <c r="D51" s="38" t="n"/>
      <c r="E51" s="38" t="n"/>
      <c r="F51" s="38" t="n"/>
      <c r="G51" s="39" t="n"/>
    </row>
    <row r="52">
      <c r="A52" s="41" t="inlineStr">
        <is>
          <t>B3</t>
        </is>
      </c>
      <c r="B52" s="42" t="inlineStr">
        <is>
          <t>（待补）</t>
        </is>
      </c>
      <c r="C52" s="43" t="inlineStr">
        <is>
          <t>租入入库单：凭租入单验收（L3/L4）</t>
        </is>
      </c>
      <c r="D52" s="42" t="inlineStr">
        <is>
          <t>V2.0</t>
        </is>
      </c>
      <c r="E52" s="42" t="n">
        <v>1.5</v>
      </c>
      <c r="F52" s="80" t="n">
        <v>46337</v>
      </c>
      <c r="G52" s="80" t="n">
        <v>46338</v>
      </c>
    </row>
    <row r="53">
      <c r="A53" s="41" t="inlineStr">
        <is>
          <t>B3</t>
        </is>
      </c>
      <c r="B53" t="inlineStr">
        <is>
          <t>（待补）</t>
        </is>
      </c>
      <c r="C53" t="inlineStr">
        <is>
          <t>租入归还单：关联租入单+同步明细+分批</t>
        </is>
      </c>
      <c r="D53" t="inlineStr">
        <is>
          <t>V2.0</t>
        </is>
      </c>
      <c r="E53" t="n">
        <v>1.5</v>
      </c>
      <c r="F53" s="81" t="n">
        <v>46339</v>
      </c>
      <c r="G53" s="81" t="n">
        <v>46342</v>
      </c>
    </row>
    <row r="54">
      <c r="A54" s="41" t="inlineStr">
        <is>
          <t>B4</t>
        </is>
      </c>
      <c r="B54" s="42" t="inlineStr">
        <is>
          <t>（待补）</t>
        </is>
      </c>
      <c r="C54" s="43" t="inlineStr">
        <is>
          <t>租入单：新建草稿三步+供应商税率带出+审核</t>
        </is>
      </c>
      <c r="D54" s="42" t="inlineStr">
        <is>
          <t>V2.0</t>
        </is>
      </c>
      <c r="E54" s="42" t="n">
        <v>2</v>
      </c>
      <c r="F54" s="80" t="n">
        <v>46332</v>
      </c>
      <c r="G54" s="80" t="n">
        <v>46336</v>
      </c>
    </row>
    <row r="55">
      <c r="A55" s="41" t="inlineStr">
        <is>
          <t>B5</t>
        </is>
      </c>
      <c r="B55" s="42" t="inlineStr">
        <is>
          <t>FP5-03</t>
        </is>
      </c>
      <c r="C55" s="43" t="inlineStr">
        <is>
          <t>订单同步（路凯）：同步通道 + 记录重发</t>
        </is>
      </c>
      <c r="D55" s="42" t="inlineStr">
        <is>
          <t>V2.0</t>
        </is>
      </c>
      <c r="E55" s="42" t="n">
        <v>4</v>
      </c>
      <c r="F55" s="80" t="n">
        <v>46337</v>
      </c>
      <c r="G55" s="80" t="n">
        <v>46343</v>
      </c>
    </row>
    <row r="56">
      <c r="A56" s="49" t="inlineStr">
        <is>
          <t>B5</t>
        </is>
      </c>
      <c r="B56" t="inlineStr">
        <is>
          <t>FP5-04</t>
        </is>
      </c>
      <c r="C56" t="inlineStr">
        <is>
          <t>结算数据导出：数据生成 + 传递</t>
        </is>
      </c>
      <c r="D56" t="inlineStr">
        <is>
          <t>V2.0</t>
        </is>
      </c>
      <c r="E56" t="n">
        <v>2</v>
      </c>
      <c r="F56" s="81" t="n">
        <v>46335</v>
      </c>
      <c r="G56" s="81" t="n">
        <v>46336</v>
      </c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</row>
    <row r="57">
      <c r="A57" s="41" t="inlineStr">
        <is>
          <t>B6</t>
        </is>
      </c>
      <c r="B57" s="42" t="inlineStr">
        <is>
          <t>FP6-02</t>
        </is>
      </c>
      <c r="C57" s="43" t="inlineStr">
        <is>
          <t>开票登记与发票上传：登记 + 应收关联</t>
        </is>
      </c>
      <c r="D57" s="42" t="inlineStr">
        <is>
          <t>V2.0</t>
        </is>
      </c>
      <c r="E57" s="42" t="n">
        <v>1.5</v>
      </c>
      <c r="F57" s="80" t="n">
        <v>46337</v>
      </c>
      <c r="G57" s="80" t="n">
        <v>46338</v>
      </c>
    </row>
    <row r="58">
      <c r="A58" s="41" t="inlineStr">
        <is>
          <t>B6</t>
        </is>
      </c>
      <c r="B58" s="42" t="inlineStr">
        <is>
          <t>FP6-04</t>
        </is>
      </c>
      <c r="C58" s="43" t="inlineStr">
        <is>
          <t>银行水单核销：导入勾对 + 部分核销 + 对账联调</t>
        </is>
      </c>
      <c r="D58" s="42" t="inlineStr">
        <is>
          <t>V2.0</t>
        </is>
      </c>
      <c r="E58" s="42" t="n">
        <v>4</v>
      </c>
      <c r="F58" s="80" t="n">
        <v>46343</v>
      </c>
      <c r="G58" s="80" t="n">
        <v>46349</v>
      </c>
    </row>
    <row r="59">
      <c r="A59" s="41" t="inlineStr">
        <is>
          <t>B6</t>
        </is>
      </c>
      <c r="B59" t="inlineStr">
        <is>
          <t>FP6-05</t>
        </is>
      </c>
      <c r="C59" t="inlineStr">
        <is>
          <t>财务看板（盈亏报表）：汇总计算 + 报表页</t>
        </is>
      </c>
      <c r="D59" t="inlineStr">
        <is>
          <t>V2.0</t>
        </is>
      </c>
      <c r="E59" t="n">
        <v>2.5</v>
      </c>
      <c r="F59" s="81" t="n">
        <v>46343</v>
      </c>
      <c r="G59" s="81" t="n">
        <v>46345</v>
      </c>
    </row>
    <row r="60">
      <c r="A60" s="41" t="inlineStr">
        <is>
          <t>B7</t>
        </is>
      </c>
      <c r="B60" s="42" t="inlineStr">
        <is>
          <t>FP7-02</t>
        </is>
      </c>
      <c r="C60" s="43" t="inlineStr">
        <is>
          <t>操作日志：埋点存储 + 查询页</t>
        </is>
      </c>
      <c r="D60" s="42" t="inlineStr">
        <is>
          <t>V2.0</t>
        </is>
      </c>
      <c r="E60" s="42" t="n">
        <v>0.5</v>
      </c>
      <c r="F60" s="80" t="n">
        <v>46339</v>
      </c>
      <c r="G60" s="80" t="n">
        <v>46339</v>
      </c>
    </row>
    <row r="61">
      <c r="A61" s="41" t="inlineStr">
        <is>
          <t>B7</t>
        </is>
      </c>
      <c r="B61" t="inlineStr">
        <is>
          <t>FP7-03</t>
        </is>
      </c>
      <c r="C61" t="inlineStr">
        <is>
          <t>数据字典：24 组业务字典配置（枚举值域统一管理）</t>
        </is>
      </c>
      <c r="D61" t="inlineStr">
        <is>
          <t>V2.0</t>
        </is>
      </c>
      <c r="E61" t="n">
        <v>1</v>
      </c>
      <c r="F61" s="81" t="n">
        <v>46342</v>
      </c>
      <c r="G61" s="81" t="n">
        <v>46342</v>
      </c>
    </row>
    <row r="62">
      <c r="A62" s="41" t="inlineStr">
        <is>
          <t>各版支撑（测试 / 迁移 / 上线 · 每版一轮）</t>
        </is>
      </c>
      <c r="B62" s="38" t="n"/>
      <c r="C62" s="38" t="n"/>
      <c r="D62" s="38" t="n"/>
      <c r="E62" s="38" t="n"/>
      <c r="F62" s="38" t="n"/>
      <c r="G62" s="39" t="n"/>
    </row>
    <row r="63">
      <c r="A63" s="41" t="inlineStr">
        <is>
          <t>C1</t>
        </is>
      </c>
      <c r="B63" t="inlineStr">
        <is>
          <t>—</t>
        </is>
      </c>
      <c r="C63" t="inlineStr">
        <is>
          <t>集成测试用例编写与执行（F01 v3.6 七泳道 B1/L1-L4/T1/T2 + 16 类待办）</t>
        </is>
      </c>
      <c r="D63" t="inlineStr">
        <is>
          <t>各版</t>
        </is>
      </c>
      <c r="E63" t="n">
        <v>10</v>
      </c>
      <c r="F63" s="81" t="n">
        <v>46303</v>
      </c>
      <c r="G63" s="81" t="n">
        <v>46360</v>
      </c>
    </row>
    <row r="64">
      <c r="A64" s="41" t="inlineStr">
        <is>
          <t>C1</t>
        </is>
      </c>
      <c r="B64" s="42" t="inlineStr">
        <is>
          <t>—</t>
        </is>
      </c>
      <c r="C64" s="43" t="inlineStr">
        <is>
          <t>UAT 支持与缺陷修复</t>
        </is>
      </c>
      <c r="D64" s="42" t="inlineStr">
        <is>
          <t>各版</t>
        </is>
      </c>
      <c r="E64" s="42" t="n">
        <v>7</v>
      </c>
      <c r="F64" s="80" t="n">
        <v>46309</v>
      </c>
      <c r="G64" s="80" t="n">
        <v>46360</v>
      </c>
    </row>
    <row r="65">
      <c r="A65" s="41" t="inlineStr">
        <is>
          <t>C2</t>
        </is>
      </c>
      <c r="B65" t="inlineStr">
        <is>
          <t>—</t>
        </is>
      </c>
      <c r="C65" t="inlineStr">
        <is>
          <t>主数据整理与导入模板</t>
        </is>
      </c>
      <c r="D65" t="inlineStr">
        <is>
          <t>各版</t>
        </is>
      </c>
      <c r="E65" t="n">
        <v>4</v>
      </c>
      <c r="F65" s="81" t="n">
        <v>46303</v>
      </c>
      <c r="G65" s="81" t="n">
        <v>46358</v>
      </c>
    </row>
    <row r="66">
      <c r="A66" s="41" t="inlineStr">
        <is>
          <t>C2</t>
        </is>
      </c>
      <c r="B66" s="42" t="inlineStr">
        <is>
          <t>—</t>
        </is>
      </c>
      <c r="C66" s="43" t="inlineStr">
        <is>
          <t>期初库存与在租数据迁移（五态含租入·期初直接导库）</t>
        </is>
      </c>
      <c r="D66" s="42" t="inlineStr">
        <is>
          <t>各版</t>
        </is>
      </c>
      <c r="E66" s="42" t="n">
        <v>6</v>
      </c>
      <c r="F66" s="80" t="n">
        <v>46308</v>
      </c>
      <c r="G66" s="80" t="n">
        <v>46359</v>
      </c>
    </row>
    <row r="67">
      <c r="A67" s="37" t="inlineStr">
        <is>
          <t>C2</t>
        </is>
      </c>
      <c r="B67" t="inlineStr">
        <is>
          <t>—</t>
        </is>
      </c>
      <c r="C67" t="inlineStr">
        <is>
          <t>迁移核对与差异处理</t>
        </is>
      </c>
      <c r="D67" t="inlineStr">
        <is>
          <t>各版</t>
        </is>
      </c>
      <c r="E67" t="n">
        <v>3</v>
      </c>
      <c r="F67" s="81" t="n">
        <v>46310</v>
      </c>
      <c r="G67" s="81" t="n">
        <v>46360</v>
      </c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</row>
    <row r="68">
      <c r="A68" s="41" t="inlineStr">
        <is>
          <t>C3</t>
        </is>
      </c>
      <c r="B68" t="inlineStr">
        <is>
          <t>—</t>
        </is>
      </c>
      <c r="C68" t="inlineStr">
        <is>
          <t>环境部署与发布</t>
        </is>
      </c>
      <c r="D68" t="inlineStr">
        <is>
          <t>各版</t>
        </is>
      </c>
      <c r="E68" t="n">
        <v>3</v>
      </c>
      <c r="F68" s="81" t="n">
        <v>46308</v>
      </c>
      <c r="G68" s="81" t="n">
        <v>46360</v>
      </c>
    </row>
    <row r="69">
      <c r="A69" s="41" t="inlineStr">
        <is>
          <t>C3</t>
        </is>
      </c>
      <c r="B69" s="42" t="inlineStr">
        <is>
          <t>—</t>
        </is>
      </c>
      <c r="C69" s="43" t="inlineStr">
        <is>
          <t>上线切换与并行期支持</t>
        </is>
      </c>
      <c r="D69" s="42" t="inlineStr">
        <is>
          <t>各版</t>
        </is>
      </c>
      <c r="E69" s="42" t="n">
        <v>5</v>
      </c>
      <c r="F69" s="80" t="n">
        <v>46310</v>
      </c>
      <c r="G69" s="80" t="n">
        <v>46363</v>
      </c>
    </row>
    <row r="70">
      <c r="A70" s="41" t="inlineStr">
        <is>
          <t>C3</t>
        </is>
      </c>
      <c r="B70" s="42" t="inlineStr">
        <is>
          <t>—</t>
        </is>
      </c>
      <c r="C70" s="43" t="inlineStr">
        <is>
          <t>线上试运行与并行验证</t>
        </is>
      </c>
      <c r="D70" s="42" t="inlineStr">
        <is>
          <t>各版</t>
        </is>
      </c>
      <c r="E70" s="42" t="n">
        <v>7</v>
      </c>
      <c r="F70" s="80" t="n">
        <v>46311</v>
      </c>
      <c r="G70" s="80" t="n">
        <v>46374</v>
      </c>
    </row>
    <row r="71">
      <c r="A71" s="41" t="n"/>
    </row>
    <row r="72">
      <c r="A72" s="41" t="n"/>
      <c r="B72" s="42" t="n"/>
      <c r="C72" s="43" t="n"/>
      <c r="D72" s="42" t="n"/>
      <c r="E72" s="42" t="n"/>
      <c r="F72" s="80" t="n"/>
      <c r="G72" s="80" t="n"/>
    </row>
    <row r="73">
      <c r="A73" s="41" t="n"/>
    </row>
    <row r="74">
      <c r="A74" s="41" t="n"/>
      <c r="B74" s="42" t="n"/>
      <c r="C74" s="43" t="n"/>
      <c r="D74" s="42" t="n"/>
      <c r="E74" s="42" t="n"/>
      <c r="F74" s="80" t="n"/>
      <c r="G74" s="80" t="n"/>
    </row>
    <row r="75">
      <c r="A75" s="41" t="n"/>
      <c r="B75" s="42" t="n"/>
      <c r="C75" s="43" t="n"/>
      <c r="D75" s="42" t="n"/>
      <c r="E75" s="42" t="n"/>
      <c r="F75" s="80" t="n"/>
      <c r="G75" s="80" t="n"/>
    </row>
    <row r="77">
      <c r="F77" s="81" t="n"/>
      <c r="G77" s="81" t="n"/>
    </row>
    <row r="78">
      <c r="F78" s="81" t="n"/>
      <c r="G78" s="81" t="n"/>
    </row>
    <row r="79">
      <c r="F79" s="81" t="n"/>
      <c r="G79" s="81" t="n"/>
    </row>
    <row r="80">
      <c r="F80" s="81" t="n"/>
      <c r="G80" s="81" t="n"/>
    </row>
    <row r="82">
      <c r="F82" s="81" t="n"/>
      <c r="G82" s="81" t="n"/>
    </row>
    <row r="83">
      <c r="F83" s="81" t="n"/>
      <c r="G83" s="81" t="n"/>
    </row>
    <row r="84">
      <c r="F84" s="81" t="n"/>
      <c r="G84" s="81" t="n"/>
    </row>
    <row r="85">
      <c r="F85" s="81" t="n"/>
      <c r="G85" s="81" t="n"/>
    </row>
    <row r="86">
      <c r="F86" s="81" t="n"/>
      <c r="G86" s="81" t="n"/>
    </row>
    <row r="87">
      <c r="F87" s="81" t="n"/>
      <c r="G87" s="81" t="n"/>
    </row>
    <row r="88">
      <c r="F88" s="81" t="n"/>
      <c r="G88" s="81" t="n"/>
    </row>
    <row r="89">
      <c r="F89" s="81" t="n"/>
      <c r="G89" s="81" t="n"/>
    </row>
  </sheetData>
  <mergeCells count="9">
    <mergeCell ref="BL3:CD3"/>
    <mergeCell ref="Z3:AP3"/>
    <mergeCell ref="A5:G5"/>
    <mergeCell ref="A62:G62"/>
    <mergeCell ref="AQ3:BK3"/>
    <mergeCell ref="A38:G38"/>
    <mergeCell ref="A15:G15"/>
    <mergeCell ref="A51:G51"/>
    <mergeCell ref="H3:Y3"/>
  </mergeCells>
  <conditionalFormatting sqref="H5:CD75">
    <cfRule type="expression" priority="68" dxfId="1">
      <formula>OR(H$4=DATE(2026,10,16),H$4=DATE(2026,11,17),H$4=DATE(2026,12,7),H$4=DATE(2026,12,25))</formula>
    </cfRule>
    <cfRule type="expression" priority="67" dxfId="0">
      <formula>H$4=TODAY()</formula>
    </cfRule>
  </conditionalFormatting>
  <conditionalFormatting sqref="H6:CD14">
    <cfRule type="expression" priority="1" dxfId="2" stopIfTrue="1">
      <formula>AND(H$4&lt;&gt;"",H$4&lt;=$G6,H$4&gt;=$F6)</formula>
    </cfRule>
  </conditionalFormatting>
  <conditionalFormatting sqref="H16:CD37">
    <cfRule type="expression" priority="10" dxfId="3" stopIfTrue="1">
      <formula>AND(H$4&lt;&gt;"",H$4&lt;=$G16,H$4&gt;=$F16)</formula>
    </cfRule>
  </conditionalFormatting>
  <conditionalFormatting sqref="H39:CD55">
    <cfRule type="expression" priority="32" dxfId="4" stopIfTrue="1">
      <formula>AND(H$4&lt;&gt;"",H$4&lt;=$G39,H$4&gt;=$F39)</formula>
    </cfRule>
  </conditionalFormatting>
  <conditionalFormatting sqref="H57:CD66">
    <cfRule type="expression" priority="49" dxfId="5" stopIfTrue="1">
      <formula>AND(H$4&lt;&gt;"",H$4&lt;=$G57,H$4&gt;=$F57)</formula>
    </cfRule>
  </conditionalFormatting>
  <conditionalFormatting sqref="H68:CD75">
    <cfRule type="expression" priority="59" dxfId="6" stopIfTrue="1">
      <formula>AND(H$4&lt;&gt;"",H$4&lt;=$G68,H$4&gt;=$F68)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1"/>
  <sheetViews>
    <sheetView showGridLines="0" workbookViewId="0">
      <pane ySplit="3" topLeftCell="A28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6" customWidth="1" min="1" max="1"/>
    <col width="15" customWidth="1" min="2" max="2"/>
    <col width="11" customWidth="1" min="3" max="3"/>
    <col width="38" customWidth="1" min="4" max="4"/>
    <col width="6" customWidth="1" min="5" max="5"/>
    <col width="26" customWidth="1" min="6" max="6"/>
    <col width="7" customWidth="1" min="7" max="8"/>
    <col width="12" customWidth="1" min="9" max="9"/>
    <col width="9" customWidth="1" min="10" max="10"/>
    <col width="12" customWidth="1" min="11" max="12"/>
    <col width="34" customWidth="1" min="13" max="13"/>
  </cols>
  <sheetData>
    <row r="1" ht="18" customHeight="1">
      <c r="A1" s="1" t="inlineStr">
        <is>
          <t>P1-R03 工期评估表 · 功能点级（全栈口径）</t>
        </is>
      </c>
    </row>
    <row r="2" ht="15" customHeight="1">
      <c r="A2" s="2" t="inlineStr">
        <is>
          <t>口径：人日含概要设计+编码+自测；每功能点一行、不分前后端（类型=全栈）。2026-09-05 按方案二（买卖先行）标定「版本」列：V1.0 买卖版 21 页 / V1.1 租赁版 +16 页 / V2.0 深化版 +8 页，前置=调研+底座、各版=测试迁移上线每版重复投入。标（待补）的 10 行为原型已有但 §5.1 未编 FP 码的页面。人日/评估人/开始/结束全部留白，由道远与开发逐行填写；上一版估算归档于 99-归档/P1-R03-工期评估表-20260905.xlsx。｜2026-09-06 更新：按 3 名全栈开发、2026-09-07~09-10 芋道（yudao）JDK21 底座搭建、09-10 起业务开发、原型基本确定（前置压缩）口径填入人日初评；「各版」行 H=单轮人日×3 版；评估人/起止列留白待道远与开发复核微调。｜2026-09-06 二次调整：为赶 V1.0 于 2026-10-30 上线，盘点单（FP3-05）/项目看板（FP2-03）/项目详情（FP2-04）共 8.5 人日移至 V1.1——V1.0 缩为 17 页、V1.1 扩为 +20 页，总人日不变。｜2026-09-06 方案 2.0：3 名全栈全部借助 Claude Code vibe coding，按净提速口径重估——列表/弹窗/文档类×0.6、录单+过账×0.7、复杂业务逻辑（库存过账/组装拆卸/计费/核销/路凯对接）×0.75~0.85（人工设计主导）、调研评审不提速；整体 212→149 人日（-29.6%），15% 缓冲与版本范围不变。｜I 列「含缓冲人日」=H×(1+汇总!C30) 自动计算，与「按月版本规划」口径统一（171.35），汇报用 I 列。</t>
        </is>
      </c>
    </row>
    <row r="3" ht="30" customHeight="1">
      <c r="A3" s="3" t="inlineStr">
        <is>
          <t>WBS</t>
        </is>
      </c>
      <c r="B3" s="3" t="inlineStr">
        <is>
          <t>模块/阶段</t>
        </is>
      </c>
      <c r="C3" s="3" t="inlineStr">
        <is>
          <t>功能点</t>
        </is>
      </c>
      <c r="D3" s="3" t="inlineStr">
        <is>
          <t>任务</t>
        </is>
      </c>
      <c r="E3" s="3" t="inlineStr">
        <is>
          <t>类型</t>
        </is>
      </c>
      <c r="F3" s="3" t="inlineStr">
        <is>
          <t>对应原型页面</t>
        </is>
      </c>
      <c r="G3" s="3" t="inlineStr">
        <is>
          <t>版本</t>
        </is>
      </c>
      <c r="H3" s="3" t="inlineStr">
        <is>
          <t>人日</t>
        </is>
      </c>
      <c r="I3" s="3" t="inlineStr">
        <is>
          <t>含缓冲人日
（=人日×1.15）</t>
        </is>
      </c>
      <c r="J3" s="3" t="inlineStr">
        <is>
          <t>评估人</t>
        </is>
      </c>
      <c r="K3" s="3" t="inlineStr">
        <is>
          <t>开始时间</t>
        </is>
      </c>
      <c r="L3" s="3" t="inlineStr">
        <is>
          <t>结束时间</t>
        </is>
      </c>
      <c r="M3" s="3" t="inlineStr">
        <is>
          <t>备注（风险/依赖）</t>
        </is>
      </c>
    </row>
    <row r="4" ht="26" customHeight="1">
      <c r="A4" s="4" t="inlineStr">
        <is>
          <t>A1</t>
        </is>
      </c>
      <c r="B4" s="5" t="inlineStr">
        <is>
          <t>需求调研与PRD</t>
        </is>
      </c>
      <c r="C4" s="6" t="inlineStr">
        <is>
          <t>—</t>
        </is>
      </c>
      <c r="D4" s="5" t="inlineStr">
        <is>
          <t>原型走查与字段确认（四轮评审至第 3 次沟通·115 页口径）</t>
        </is>
      </c>
      <c r="E4" s="6" t="inlineStr">
        <is>
          <t>调研</t>
        </is>
      </c>
      <c r="F4" s="5" t="inlineStr">
        <is>
          <t>全量</t>
        </is>
      </c>
      <c r="G4" s="7" t="inlineStr">
        <is>
          <t>前置</t>
        </is>
      </c>
      <c r="H4" s="82" t="n">
        <v>1.5</v>
      </c>
      <c r="I4" s="82">
        <f>H4*(1+汇总!$C$46)</f>
        <v/>
      </c>
      <c r="J4" s="83" t="n">
        <v>46272</v>
      </c>
      <c r="K4" s="10" t="n">
        <v>46273</v>
      </c>
      <c r="L4" s="10" t="inlineStr">
        <is>
          <t>✅ 已完成（09-08 第 3 次沟通收口）</t>
        </is>
      </c>
      <c r="M4" s="5" t="inlineStr">
        <is>
          <t>依赖 #2 #3：账号或全套截图；走查结论直接落到 PRD</t>
        </is>
      </c>
    </row>
    <row r="5" ht="52" customHeight="1">
      <c r="A5" s="4" t="inlineStr">
        <is>
          <t>A1</t>
        </is>
      </c>
      <c r="B5" s="5" t="inlineStr">
        <is>
          <t>需求调研与PRD</t>
        </is>
      </c>
      <c r="C5" s="6" t="inlineStr">
        <is>
          <t>—</t>
        </is>
      </c>
      <c r="D5" s="5" t="inlineStr">
        <is>
          <t>计费规则与单据流程确认（三段式计费 09-11 拍板定版）</t>
        </is>
      </c>
      <c r="E5" s="6" t="inlineStr">
        <is>
          <t>调研</t>
        </is>
      </c>
      <c r="F5" s="5" t="inlineStr">
        <is>
          <t>—</t>
        </is>
      </c>
      <c r="G5" s="7" t="inlineStr">
        <is>
          <t>前置</t>
        </is>
      </c>
      <c r="H5" s="82" t="n">
        <v>2</v>
      </c>
      <c r="I5" s="82">
        <f>H5*(1+汇总!$C$46)</f>
        <v/>
      </c>
      <c r="J5" s="83" t="n">
        <v>46274</v>
      </c>
      <c r="K5" s="10" t="n">
        <v>46275</v>
      </c>
      <c r="L5" s="10" t="inlineStr">
        <is>
          <t>✅ 已完成（按月/次/年/日/张五式）</t>
        </is>
      </c>
      <c r="M5" s="5" t="inlineStr">
        <is>
          <t>依赖 #1 #5：合同/报价单、单据样例</t>
        </is>
      </c>
    </row>
    <row r="6">
      <c r="A6" s="4" t="inlineStr">
        <is>
          <t>A1</t>
        </is>
      </c>
      <c r="B6" s="5" t="inlineStr">
        <is>
          <t>需求调研与PRD</t>
        </is>
      </c>
      <c r="C6" s="6" t="inlineStr">
        <is>
          <t>—</t>
        </is>
      </c>
      <c r="D6" s="5" t="inlineStr">
        <is>
          <t>PRD 编写（P2-R01 V1.0·10 模块 UC89/AC55）</t>
        </is>
      </c>
      <c r="E6" s="6" t="inlineStr">
        <is>
          <t>文档</t>
        </is>
      </c>
      <c r="F6" s="5" t="inlineStr">
        <is>
          <t>全量</t>
        </is>
      </c>
      <c r="G6" s="7" t="inlineStr">
        <is>
          <t>前置</t>
        </is>
      </c>
      <c r="H6" s="82" t="n">
        <v>1.5</v>
      </c>
      <c r="I6" s="82">
        <f>H6*(1+汇总!$C$46)</f>
        <v/>
      </c>
      <c r="J6" s="83" t="n">
        <v>46274</v>
      </c>
      <c r="K6" s="10" t="n">
        <v>46275</v>
      </c>
      <c r="L6" s="10" t="inlineStr">
        <is>
          <t>✅ 已完成（09-12 定版·现 V1.1+附录 A 台账）</t>
        </is>
      </c>
      <c r="M6" s="5" t="n"/>
    </row>
    <row r="7" ht="52" customHeight="1">
      <c r="A7" s="4" t="inlineStr">
        <is>
          <t>A1</t>
        </is>
      </c>
      <c r="B7" s="5" t="inlineStr">
        <is>
          <t>需求调研与PRD</t>
        </is>
      </c>
      <c r="C7" s="6" t="inlineStr">
        <is>
          <t>—</t>
        </is>
      </c>
      <c r="D7" s="5" t="inlineStr">
        <is>
          <t>PRD 评审与范围冻结</t>
        </is>
      </c>
      <c r="E7" s="6" t="inlineStr">
        <is>
          <t>文档</t>
        </is>
      </c>
      <c r="F7" s="5" t="inlineStr">
        <is>
          <t>全量</t>
        </is>
      </c>
      <c r="G7" s="7" t="inlineStr">
        <is>
          <t>前置</t>
        </is>
      </c>
      <c r="H7" s="82" t="n">
        <v>1</v>
      </c>
      <c r="I7" s="82">
        <f>H7*(1+汇总!$C$46)</f>
        <v/>
      </c>
      <c r="J7" s="83" t="n">
        <v>46276</v>
      </c>
      <c r="K7" s="10" t="n">
        <v>46276</v>
      </c>
      <c r="L7" s="10" t="inlineStr">
        <is>
          <t>✅ 已完成（09-12 起拍板入台账滚动）</t>
        </is>
      </c>
      <c r="M7" s="5" t="inlineStr">
        <is>
          <t>客户确认后冻结范围，原型同步定稿</t>
        </is>
      </c>
    </row>
    <row r="8" ht="26" customHeight="1">
      <c r="A8" s="4" t="inlineStr">
        <is>
          <t>A2</t>
        </is>
      </c>
      <c r="B8" s="5" t="inlineStr">
        <is>
          <t>原型设计</t>
        </is>
      </c>
      <c r="C8" s="6" t="inlineStr">
        <is>
          <t>—</t>
        </is>
      </c>
      <c r="D8" s="5" t="inlineStr">
        <is>
          <t>原型按评审反馈修订</t>
        </is>
      </c>
      <c r="E8" s="6" t="inlineStr">
        <is>
          <t>原型</t>
        </is>
      </c>
      <c r="F8" s="5" t="inlineStr">
        <is>
          <t>涉及页视反馈</t>
        </is>
      </c>
      <c r="G8" s="7" t="inlineStr">
        <is>
          <t>前置</t>
        </is>
      </c>
      <c r="H8" s="82" t="n">
        <v>0.5</v>
      </c>
      <c r="I8" s="82">
        <f>H8*(1+汇总!$C$46)</f>
        <v/>
      </c>
      <c r="J8" s="83" t="n">
        <v>46275</v>
      </c>
      <c r="K8" s="10" t="n">
        <v>46275</v>
      </c>
      <c r="L8" s="10" t="inlineStr">
        <is>
          <t>✅ 已完成（115 HTML 定稿 09-14·F01 v3.6）</t>
        </is>
      </c>
      <c r="M8" s="5" t="inlineStr">
        <is>
          <t>v2.8 已交付（45 页 + 79 弹窗 + F01 导航图），仅评修订量，勿按全量重估</t>
        </is>
      </c>
    </row>
    <row r="9" ht="39" customHeight="1">
      <c r="A9" s="4" t="inlineStr">
        <is>
          <t>A2</t>
        </is>
      </c>
      <c r="B9" s="5" t="inlineStr">
        <is>
          <t>原型设计</t>
        </is>
      </c>
      <c r="C9" s="6" t="inlineStr">
        <is>
          <t>—</t>
        </is>
      </c>
      <c r="D9" s="5" t="inlineStr">
        <is>
          <t>原型评审确认与定稿</t>
        </is>
      </c>
      <c r="E9" s="6" t="inlineStr">
        <is>
          <t>原型</t>
        </is>
      </c>
      <c r="F9" s="5" t="inlineStr">
        <is>
          <t>全量 + F01</t>
        </is>
      </c>
      <c r="G9" s="7" t="inlineStr">
        <is>
          <t>前置</t>
        </is>
      </c>
      <c r="H9" s="82" t="n">
        <v>0.5</v>
      </c>
      <c r="I9" s="82">
        <f>H9*(1+汇总!$C$46)</f>
        <v/>
      </c>
      <c r="J9" s="83" t="n">
        <v>46276</v>
      </c>
      <c r="K9" s="10" t="n">
        <v>46276</v>
      </c>
      <c r="L9" s="10" t="inlineStr">
        <is>
          <t>✅ 已完成（09-14 客户沟通演示版）</t>
        </is>
      </c>
      <c r="M9" s="5" t="inlineStr">
        <is>
          <t>与 PRD 冻结同节点收口</t>
        </is>
      </c>
    </row>
    <row r="10" ht="26" customHeight="1">
      <c r="A10" s="4" t="inlineStr">
        <is>
          <t>B0</t>
        </is>
      </c>
      <c r="B10" s="5" t="inlineStr">
        <is>
          <t>公共底座与移动端</t>
        </is>
      </c>
      <c r="C10" s="6" t="inlineStr">
        <is>
          <t>—</t>
        </is>
      </c>
      <c r="D10" s="5" t="inlineStr">
        <is>
          <t>工程脚手架与 CI/CD</t>
        </is>
      </c>
      <c r="E10" s="6" t="inlineStr">
        <is>
          <t>全栈</t>
        </is>
      </c>
      <c r="F10" s="5" t="inlineStr">
        <is>
          <t>—</t>
        </is>
      </c>
      <c r="G10" s="7" t="inlineStr">
        <is>
          <t>前置</t>
        </is>
      </c>
      <c r="H10" s="82" t="n">
        <v>1.5</v>
      </c>
      <c r="I10" s="82">
        <f>H10*(1+汇总!$C$46)</f>
        <v/>
      </c>
      <c r="J10" s="83" t="n">
        <v>46272</v>
      </c>
      <c r="K10" s="10" t="n">
        <v>46273</v>
      </c>
      <c r="L10" s="10" t="inlineStr"/>
      <c r="M10" s="5" t="inlineStr">
        <is>
          <t>本表新增项，非 P1-R01 功能点，评估时确认保留</t>
        </is>
      </c>
    </row>
    <row r="11" ht="39" customHeight="1">
      <c r="A11" s="4" t="inlineStr">
        <is>
          <t>B0</t>
        </is>
      </c>
      <c r="B11" s="5" t="inlineStr">
        <is>
          <t>公共底座与移动端</t>
        </is>
      </c>
      <c r="C11" s="6" t="inlineStr">
        <is>
          <t>—</t>
        </is>
      </c>
      <c r="D11" s="5" t="inlineStr">
        <is>
          <t>登录页+默认登录态+框架权限（企微扫码·退出键域）</t>
        </is>
      </c>
      <c r="E11" s="6" t="inlineStr">
        <is>
          <t>全栈</t>
        </is>
      </c>
      <c r="F11" s="5" t="inlineStr">
        <is>
          <t>登录.html+pc-auth</t>
        </is>
      </c>
      <c r="G11" s="7" t="inlineStr">
        <is>
          <t>前置</t>
        </is>
      </c>
      <c r="H11" s="82" t="n">
        <v>0.75</v>
      </c>
      <c r="I11" s="82">
        <f>H11*(1+汇总!$C$46)</f>
        <v/>
      </c>
      <c r="J11" s="83" t="n">
        <v>46274</v>
      </c>
      <c r="K11" s="10" t="n">
        <v>46274</v>
      </c>
      <c r="L11" s="10" t="inlineStr">
        <is>
          <t>原型已含登录页（G19b）·客户/供应商账号不做（D-89）</t>
        </is>
      </c>
      <c r="M11" s="5" t="inlineStr">
        <is>
          <t>原型未含登录页，按通用方案实现</t>
        </is>
      </c>
    </row>
    <row r="12" ht="26" customHeight="1">
      <c r="A12" s="4" t="inlineStr">
        <is>
          <t>B0</t>
        </is>
      </c>
      <c r="B12" s="5" t="inlineStr">
        <is>
          <t>公共底座与移动端</t>
        </is>
      </c>
      <c r="C12" s="6" t="inlineStr">
        <is>
          <t>—</t>
        </is>
      </c>
      <c r="D12" s="5" t="inlineStr">
        <is>
          <t>通用组件（单据/列表/导入导出/弹窗/四段式详情双列）</t>
        </is>
      </c>
      <c r="E12" s="6" t="inlineStr">
        <is>
          <t>全栈</t>
        </is>
      </c>
      <c r="F12" s="5" t="inlineStr">
        <is>
          <t>全站 69 弹窗模板</t>
        </is>
      </c>
      <c r="G12" s="7" t="inlineStr">
        <is>
          <t>前置</t>
        </is>
      </c>
      <c r="H12" s="82" t="n">
        <v>3.5</v>
      </c>
      <c r="I12" s="82">
        <f>H12*(1+汇总!$C$46)</f>
        <v/>
      </c>
      <c r="J12" s="83" t="n">
        <v>46274</v>
      </c>
      <c r="K12" s="10" t="n">
        <v>46275</v>
      </c>
      <c r="L12" s="10" t="inlineStr">
        <is>
          <t>四段式详情双列化已定版（D-92·1080px）</t>
        </is>
      </c>
      <c r="M12" s="5" t="inlineStr">
        <is>
          <t>复刻原型交互；79 个弹窗模板与四段式详情组件可直接参照</t>
        </is>
      </c>
    </row>
    <row r="13">
      <c r="A13" s="4" t="inlineStr">
        <is>
          <t>B0</t>
        </is>
      </c>
      <c r="B13" s="5" t="inlineStr">
        <is>
          <t>公共底座与移动端</t>
        </is>
      </c>
      <c r="C13" s="6" t="inlineStr">
        <is>
          <t>—</t>
        </is>
      </c>
      <c r="D13" s="5" t="inlineStr">
        <is>
          <t>站内信（顶栏通知铃铛·四类消息·已读键域）</t>
        </is>
      </c>
      <c r="E13" s="6" t="inlineStr">
        <is>
          <t>全栈</t>
        </is>
      </c>
      <c r="F13" s="5" t="inlineStr">
        <is>
          <t>38 业务页挂载</t>
        </is>
      </c>
      <c r="G13" s="11" t="inlineStr">
        <is>
          <t>V1.0</t>
        </is>
      </c>
      <c r="H13" s="82" t="n">
        <v>0.5</v>
      </c>
      <c r="I13" s="82">
        <f>H13*(1+汇总!$C$46)</f>
        <v/>
      </c>
      <c r="J13" s="83" t="n">
        <v>46293</v>
      </c>
      <c r="K13" s="10" t="n">
        <v>46293</v>
      </c>
      <c r="L13" s="10" t="inlineStr">
        <is>
          <t>账单到期/分期付款/押金应退/续租跟进（D-85）</t>
        </is>
      </c>
      <c r="M13" s="5" t="n"/>
    </row>
    <row r="14">
      <c r="A14" s="4" t="inlineStr">
        <is>
          <t>B0</t>
        </is>
      </c>
      <c r="B14" s="5" t="inlineStr">
        <is>
          <t>公共底座与移动端</t>
        </is>
      </c>
      <c r="C14" s="6" t="inlineStr">
        <is>
          <t>—</t>
        </is>
      </c>
      <c r="D14" s="5" t="inlineStr">
        <is>
          <t>移动端 H5 五页（登录/待办审批/审批详情/库存查询/我的·企微）</t>
        </is>
      </c>
      <c r="E14" s="6" t="inlineStr">
        <is>
          <t>全栈</t>
        </is>
      </c>
      <c r="F14" s="5" t="inlineStr">
        <is>
          <t>mobile/ 五页</t>
        </is>
      </c>
      <c r="G14" s="11" t="inlineStr">
        <is>
          <t>V1.1</t>
        </is>
      </c>
      <c r="H14" s="82" t="n">
        <v>2.5</v>
      </c>
      <c r="I14" s="82">
        <f>H14*(1+汇总!$C$46)</f>
        <v/>
      </c>
      <c r="J14" s="83" t="n">
        <v>46314</v>
      </c>
      <c r="K14" s="10" t="n">
        <v>46318</v>
      </c>
      <c r="L14" s="10" t="inlineStr">
        <is>
          <t>移动端审批=P0（D-86）；免二次登录</t>
        </is>
      </c>
      <c r="M14" s="5" t="n"/>
    </row>
    <row r="15">
      <c r="A15" s="4" t="inlineStr">
        <is>
          <t>B1</t>
        </is>
      </c>
      <c r="B15" s="5" t="inlineStr">
        <is>
          <t>基础数据</t>
        </is>
      </c>
      <c r="C15" s="6" t="inlineStr">
        <is>
          <t>FP1-01</t>
        </is>
      </c>
      <c r="D15" s="5" t="inlineStr">
        <is>
          <t>项目档案：页面 + 表结构与接口</t>
        </is>
      </c>
      <c r="E15" s="6" t="inlineStr">
        <is>
          <t>全栈</t>
        </is>
      </c>
      <c r="F15" s="5" t="inlineStr">
        <is>
          <t>项目档案</t>
        </is>
      </c>
      <c r="G15" s="11" t="inlineStr">
        <is>
          <t>V1.0</t>
        </is>
      </c>
      <c r="H15" s="82" t="n">
        <v>1.5</v>
      </c>
      <c r="I15" s="82">
        <f>H15*(1+汇总!$C$46)</f>
        <v/>
      </c>
      <c r="J15" s="83" t="n">
        <v>46275</v>
      </c>
      <c r="K15" s="10" t="n">
        <v>46276</v>
      </c>
      <c r="L15" s="10" t="inlineStr"/>
      <c r="M15" s="5" t="n"/>
    </row>
    <row r="16">
      <c r="A16" s="4" t="inlineStr">
        <is>
          <t>B1</t>
        </is>
      </c>
      <c r="B16" s="5" t="inlineStr">
        <is>
          <t>基础数据</t>
        </is>
      </c>
      <c r="C16" s="6" t="inlineStr">
        <is>
          <t>FP1-02</t>
        </is>
      </c>
      <c r="D16" s="5" t="inlineStr">
        <is>
          <t>客商管理：客户/供应商/客商兼供应商（含开票资料）</t>
        </is>
      </c>
      <c r="E16" s="6" t="inlineStr">
        <is>
          <t>全栈</t>
        </is>
      </c>
      <c r="F16" s="5" t="inlineStr">
        <is>
          <t>客商管理</t>
        </is>
      </c>
      <c r="G16" s="11" t="inlineStr">
        <is>
          <t>V1.0</t>
        </is>
      </c>
      <c r="H16" s="82" t="n">
        <v>2</v>
      </c>
      <c r="I16" s="82">
        <f>H16*(1+汇总!$C$46)</f>
        <v/>
      </c>
      <c r="J16" s="83" t="n">
        <v>46279</v>
      </c>
      <c r="K16" s="10" t="n">
        <v>46280</v>
      </c>
      <c r="L16" s="10" t="inlineStr"/>
      <c r="M16" s="5" t="n"/>
    </row>
    <row r="17" ht="26" customHeight="1">
      <c r="A17" s="4" t="inlineStr">
        <is>
          <t>B1</t>
        </is>
      </c>
      <c r="B17" s="5" t="inlineStr">
        <is>
          <t>基础数据</t>
        </is>
      </c>
      <c r="C17" s="6" t="inlineStr">
        <is>
          <t>FP1-03</t>
        </is>
      </c>
      <c r="D17" s="5" t="inlineStr">
        <is>
          <t>产品档案：物料类型×分类两级+四参考价+供应商税率+三段式租价（器具/零部件两档案已合并）</t>
        </is>
      </c>
      <c r="E17" s="6" t="inlineStr">
        <is>
          <t>全栈</t>
        </is>
      </c>
      <c r="F17" s="5" t="inlineStr">
        <is>
          <t>产品档案（菜单名=物料档案）</t>
        </is>
      </c>
      <c r="G17" s="12" t="inlineStr">
        <is>
          <t>V1.0</t>
        </is>
      </c>
      <c r="H17" s="82" t="n">
        <v>2</v>
      </c>
      <c r="I17" s="82">
        <f>H17*(1+汇总!$C$46)</f>
        <v/>
      </c>
      <c r="J17" s="83" t="n">
        <v>46281</v>
      </c>
      <c r="K17" s="10" t="n">
        <v>46282</v>
      </c>
      <c r="L17" s="10" t="inlineStr">
        <is>
          <t>两档案合并+productTaxes 税率行编辑器（D-03/归属权已退场）</t>
        </is>
      </c>
      <c r="M17" s="5" t="inlineStr">
        <is>
          <t>配比错误需拦截；BOM 仅租赁域使用，随租赁版上线</t>
        </is>
      </c>
    </row>
    <row r="18" ht="39" customHeight="1">
      <c r="A18" s="4" t="inlineStr">
        <is>
          <t>B1</t>
        </is>
      </c>
      <c r="B18" s="5" t="inlineStr">
        <is>
          <t>基础数据</t>
        </is>
      </c>
      <c r="C18" s="6" t="inlineStr">
        <is>
          <t>FP1-05</t>
        </is>
      </c>
      <c r="D18" s="5" t="inlineStr">
        <is>
          <t>子母件 BOM：维护页 + 版本管理与配比校验</t>
        </is>
      </c>
      <c r="E18" s="6" t="inlineStr">
        <is>
          <t>全栈</t>
        </is>
      </c>
      <c r="F18" s="5" t="inlineStr">
        <is>
          <t>BOM + BOM维护（2页）</t>
        </is>
      </c>
      <c r="G18" s="11" t="inlineStr">
        <is>
          <t>V1.1</t>
        </is>
      </c>
      <c r="H18" s="82" t="n">
        <v>3</v>
      </c>
      <c r="I18" s="82">
        <f>H18*(1+汇总!$C$46)</f>
        <v/>
      </c>
      <c r="J18" s="83" t="n">
        <v>46314</v>
      </c>
      <c r="K18" s="10" t="n">
        <v>46316</v>
      </c>
      <c r="L18" s="10" t="inlineStr">
        <is>
          <t>BOM 结果导向：出库按组合扣减，无组装过程</t>
        </is>
      </c>
      <c r="M18" s="5" t="inlineStr">
        <is>
          <t>预留扫码接口（REQ-20）</t>
        </is>
      </c>
    </row>
    <row r="19">
      <c r="A19" s="4" t="inlineStr">
        <is>
          <t>B1</t>
        </is>
      </c>
      <c r="B19" s="5" t="inlineStr">
        <is>
          <t>基础数据</t>
        </is>
      </c>
      <c r="C19" s="6" t="inlineStr">
        <is>
          <t>FP1-06</t>
        </is>
      </c>
      <c r="D19" s="5" t="inlineStr">
        <is>
          <t>库位档案：仓/区/位三级 + XNC 客户虚拟仓</t>
        </is>
      </c>
      <c r="E19" s="6" t="inlineStr">
        <is>
          <t>全栈</t>
        </is>
      </c>
      <c r="F19" s="5" t="inlineStr">
        <is>
          <t>库位档案</t>
        </is>
      </c>
      <c r="G19" s="11" t="inlineStr">
        <is>
          <t>V1.0</t>
        </is>
      </c>
      <c r="H19" s="82" t="n">
        <v>1</v>
      </c>
      <c r="I19" s="82">
        <f>H19*(1+汇总!$C$46)</f>
        <v/>
      </c>
      <c r="J19" s="83" t="n">
        <v>46283</v>
      </c>
      <c r="K19" s="10" t="n">
        <v>46283</v>
      </c>
      <c r="L19" s="10" t="inlineStr">
        <is>
          <t>预留扫码接口（REQ-20）</t>
        </is>
      </c>
      <c r="M19" s="5" t="n"/>
    </row>
    <row r="20">
      <c r="A20" s="4" t="inlineStr">
        <is>
          <t>B2</t>
        </is>
      </c>
      <c r="B20" s="5" t="inlineStr">
        <is>
          <t>项目管理中心</t>
        </is>
      </c>
      <c r="C20" s="6" t="inlineStr">
        <is>
          <t>FP2-01</t>
        </is>
      </c>
      <c r="D20" s="5" t="inlineStr">
        <is>
          <t>项目编码规则：规则引擎 + 配置</t>
        </is>
      </c>
      <c r="E20" s="6" t="inlineStr">
        <is>
          <t>全栈</t>
        </is>
      </c>
      <c r="F20" s="5" t="inlineStr">
        <is>
          <t>项目档案（编码规则弹窗）</t>
        </is>
      </c>
      <c r="G20" s="11" t="inlineStr">
        <is>
          <t>V1.0</t>
        </is>
      </c>
      <c r="H20" s="82" t="n">
        <v>0.5</v>
      </c>
      <c r="I20" s="82">
        <f>H20*(1+汇总!$C$46)</f>
        <v/>
      </c>
      <c r="J20" s="83" t="n">
        <v>46275</v>
      </c>
      <c r="K20" s="10" t="n">
        <v>46275</v>
      </c>
      <c r="L20" s="10" t="inlineStr"/>
      <c r="M20" s="5" t="n"/>
    </row>
    <row r="21" ht="78" customHeight="1">
      <c r="A21" s="4" t="inlineStr">
        <is>
          <t>B2</t>
        </is>
      </c>
      <c r="B21" s="5" t="inlineStr">
        <is>
          <t>项目管理中心</t>
        </is>
      </c>
      <c r="C21" s="6" t="inlineStr">
        <is>
          <t>FP2-02</t>
        </is>
      </c>
      <c r="D21" s="5" t="inlineStr">
        <is>
          <t>上下游绑定：多对多关系维护</t>
        </is>
      </c>
      <c r="E21" s="6" t="inlineStr">
        <is>
          <t>全栈</t>
        </is>
      </c>
      <c r="F21" s="5" t="inlineStr">
        <is>
          <t>项目档案（上下游绑定弹窗）</t>
        </is>
      </c>
      <c r="G21" s="12" t="inlineStr">
        <is>
          <t>V1.0</t>
        </is>
      </c>
      <c r="H21" s="82" t="n">
        <v>1</v>
      </c>
      <c r="I21" s="82">
        <f>H21*(1+汇总!$C$46)</f>
        <v/>
      </c>
      <c r="J21" s="83" t="n">
        <v>46276</v>
      </c>
      <c r="K21" s="10" t="n">
        <v>46276</v>
      </c>
      <c r="L21" s="10" t="inlineStr">
        <is>
          <t>M:N 多对多（G13 注记口径）</t>
        </is>
      </c>
      <c r="M21" s="5" t="inlineStr">
        <is>
          <t>V1.0→V1.1（2026-09-06 赶 10 月上线范围调整）</t>
        </is>
      </c>
    </row>
    <row r="22" ht="78" customHeight="1">
      <c r="A22" s="4" t="inlineStr">
        <is>
          <t>B2</t>
        </is>
      </c>
      <c r="B22" s="5" t="inlineStr">
        <is>
          <t>项目管理中心</t>
        </is>
      </c>
      <c r="C22" s="6" t="inlineStr">
        <is>
          <t>FP2-03</t>
        </is>
      </c>
      <c r="D22" s="5" t="inlineStr">
        <is>
          <t>项目看板：图表页 + 统计接口</t>
        </is>
      </c>
      <c r="E22" s="6" t="inlineStr">
        <is>
          <t>全栈</t>
        </is>
      </c>
      <c r="F22" s="5" t="inlineStr">
        <is>
          <t>首页·项目看板</t>
        </is>
      </c>
      <c r="G22" s="12" t="inlineStr">
        <is>
          <t>V1.1</t>
        </is>
      </c>
      <c r="H22" s="82" t="n">
        <v>1.5</v>
      </c>
      <c r="I22" s="82">
        <f>H22*(1+汇总!$C$46)</f>
        <v/>
      </c>
      <c r="J22" s="83" t="n">
        <v>46290</v>
      </c>
      <c r="K22" s="10" t="n">
        <v>46293</v>
      </c>
      <c r="L22" s="10" t="inlineStr"/>
      <c r="M22" s="5" t="inlineStr">
        <is>
          <t>V1.0→V1.1（2026-09-06 赶 10 月上线范围调整）</t>
        </is>
      </c>
    </row>
    <row r="23" ht="26" customHeight="1">
      <c r="A23" s="4" t="inlineStr">
        <is>
          <t>B2</t>
        </is>
      </c>
      <c r="B23" s="5" t="inlineStr">
        <is>
          <t>项目管理中心</t>
        </is>
      </c>
      <c r="C23" s="13" t="inlineStr">
        <is>
          <t>FP2-04</t>
        </is>
      </c>
      <c r="D23" s="14" t="inlineStr">
        <is>
          <t>明细查看：从汇总数据进入单据明细</t>
        </is>
      </c>
      <c r="E23" s="6" t="inlineStr">
        <is>
          <t>全栈</t>
        </is>
      </c>
      <c r="F23" s="14" t="inlineStr">
        <is>
          <t>项目详情</t>
        </is>
      </c>
      <c r="G23" s="12" t="inlineStr">
        <is>
          <t>V1.1</t>
        </is>
      </c>
      <c r="H23" s="82" t="n">
        <v>1.5</v>
      </c>
      <c r="I23" s="82">
        <f>H23*(1+汇总!$C$46)</f>
        <v/>
      </c>
      <c r="J23" s="83" t="n">
        <v>46294</v>
      </c>
      <c r="K23" s="10" t="n">
        <v>46295</v>
      </c>
      <c r="L23" s="10" t="inlineStr"/>
      <c r="M23" s="5" t="inlineStr">
        <is>
          <t>FP 码待补（§5.1 未编）；聚合各模块待办，单据类型齐了才有意义，随租赁版</t>
        </is>
      </c>
    </row>
    <row r="24" ht="26" customHeight="1">
      <c r="A24" s="4" t="inlineStr">
        <is>
          <t>B2</t>
        </is>
      </c>
      <c r="B24" s="5" t="inlineStr">
        <is>
          <t>项目管理中心</t>
        </is>
      </c>
      <c r="C24" s="6" t="inlineStr">
        <is>
          <t>（待补）</t>
        </is>
      </c>
      <c r="D24" s="5" t="inlineStr">
        <is>
          <t>我的待办：16 类待办聚合入口</t>
        </is>
      </c>
      <c r="E24" s="6" t="inlineStr">
        <is>
          <t>全栈</t>
        </is>
      </c>
      <c r="F24" s="5" t="inlineStr">
        <is>
          <t>我的待办</t>
        </is>
      </c>
      <c r="G24" s="11" t="inlineStr">
        <is>
          <t>V1.1</t>
        </is>
      </c>
      <c r="H24" s="82" t="n">
        <v>2</v>
      </c>
      <c r="I24" s="82">
        <f>H24*(1+汇总!$C$46)</f>
        <v/>
      </c>
      <c r="J24" s="83" t="n">
        <v>46304</v>
      </c>
      <c r="K24" s="10" t="n">
        <v>46308</v>
      </c>
      <c r="L24" s="10" t="inlineStr">
        <is>
          <t>16 类=可审矩阵 16 项同值源（D-79）；审核人筛选</t>
        </is>
      </c>
      <c r="M24" s="5" t="inlineStr">
        <is>
          <t>V1.0 无采购订单时先手工入库（同吉客云现状），V1.0 内衔接 FP8-03 凭单发起</t>
        </is>
      </c>
    </row>
    <row r="25" ht="26" customHeight="1">
      <c r="A25" s="4" t="inlineStr">
        <is>
          <t>B3</t>
        </is>
      </c>
      <c r="B25" s="5" t="inlineStr">
        <is>
          <t>仓储作业 ★核心</t>
        </is>
      </c>
      <c r="C25" s="6" t="inlineStr">
        <is>
          <t>FP3-01</t>
        </is>
      </c>
      <c r="D25" s="15" t="inlineStr">
        <is>
          <t>采购入库单（执行）：录单 + 入库过账与库存更新</t>
        </is>
      </c>
      <c r="E25" s="6" t="inlineStr">
        <is>
          <t>全栈</t>
        </is>
      </c>
      <c r="F25" s="5" t="inlineStr">
        <is>
          <t>采购入库 列表+录单（2页）</t>
        </is>
      </c>
      <c r="G25" s="12" t="inlineStr">
        <is>
          <t>V1.0</t>
        </is>
      </c>
      <c r="H25" s="82" t="n">
        <v>2</v>
      </c>
      <c r="I25" s="82">
        <f>H25*(1+汇总!$C$46)</f>
        <v/>
      </c>
      <c r="J25" s="83" t="n">
        <v>46276</v>
      </c>
      <c r="K25" s="10" t="n">
        <v>46279</v>
      </c>
      <c r="L25" s="10" t="inlineStr">
        <is>
          <t>凭采购订单验收</t>
        </is>
      </c>
      <c r="M25" s="5" t="inlineStr">
        <is>
          <t>新逻辑：组装动作首次入系统；组装后散件转成品库存</t>
        </is>
      </c>
    </row>
    <row r="26">
      <c r="A26" s="4" t="inlineStr">
        <is>
          <t>B3</t>
        </is>
      </c>
      <c r="B26" s="5" t="inlineStr">
        <is>
          <t>仓储作业 ★核心</t>
        </is>
      </c>
      <c r="C26" s="6" t="inlineStr">
        <is>
          <t>FP3-03</t>
        </is>
      </c>
      <c r="D26" s="5" t="inlineStr">
        <is>
          <t>租赁出库单：录单 + 审核 + 退回对比</t>
        </is>
      </c>
      <c r="E26" s="6" t="inlineStr">
        <is>
          <t>全栈</t>
        </is>
      </c>
      <c r="F26" s="5" t="inlineStr">
        <is>
          <t>租赁出库 列表+录单（2页）</t>
        </is>
      </c>
      <c r="G26" s="12" t="inlineStr">
        <is>
          <t>V1.1</t>
        </is>
      </c>
      <c r="H26" s="82" t="n">
        <v>2</v>
      </c>
      <c r="I26" s="82">
        <f>H26*(1+汇总!$C$46)</f>
        <v/>
      </c>
      <c r="J26" s="83" t="n">
        <v>46321</v>
      </c>
      <c r="K26" s="10" t="n">
        <v>46322</v>
      </c>
      <c r="L26" s="10" t="inlineStr">
        <is>
          <t>原「组合出库」G22 统一称呼；出库确认→审核</t>
        </is>
      </c>
      <c r="M26" s="5" t="n"/>
    </row>
    <row r="27" ht="26" customHeight="1">
      <c r="A27" s="4" t="inlineStr">
        <is>
          <t>B3</t>
        </is>
      </c>
      <c r="B27" s="5" t="inlineStr">
        <is>
          <t>仓储作业 ★核心</t>
        </is>
      </c>
      <c r="C27" s="6" t="inlineStr">
        <is>
          <t>FP3-04</t>
        </is>
      </c>
      <c r="D27" s="5" t="inlineStr">
        <is>
          <t>退租入库单：客户退租统一入口·按零件入库·完好分流（自有回库/租入归还）</t>
        </is>
      </c>
      <c r="E27" s="6" t="inlineStr">
        <is>
          <t>全栈</t>
        </is>
      </c>
      <c r="F27" s="5" t="inlineStr">
        <is>
          <t>退租入库列表+新建弹窗</t>
        </is>
      </c>
      <c r="G27" s="12" t="inlineStr">
        <is>
          <t>V1.1</t>
        </is>
      </c>
      <c r="H27" s="82" t="n">
        <v>2.5</v>
      </c>
      <c r="I27" s="82">
        <f>H27*(1+汇总!$C$46)</f>
        <v/>
      </c>
      <c r="J27" s="83" t="n">
        <v>46323</v>
      </c>
      <c r="K27" s="10" t="n">
        <v>46325</v>
      </c>
      <c r="L27" s="10" t="inlineStr">
        <is>
          <t>退租两事件模型（D-72）；退租申请模块已删</t>
        </is>
      </c>
      <c r="M27" s="5" t="inlineStr">
        <is>
          <t>由退租申请（B4）触发；退租入库加拆散去向（v2.8）</t>
        </is>
      </c>
    </row>
    <row r="28" ht="78" customHeight="1">
      <c r="A28" s="4" t="inlineStr">
        <is>
          <t>B3</t>
        </is>
      </c>
      <c r="B28" s="5" t="inlineStr">
        <is>
          <t>仓储作业 ★核心</t>
        </is>
      </c>
      <c r="C28" s="6" t="inlineStr">
        <is>
          <t>FP3-05</t>
        </is>
      </c>
      <c r="D28" s="5" t="inlineStr">
        <is>
          <t>盘点单：零件/组合双口径 + 盘盈亏过账</t>
        </is>
      </c>
      <c r="E28" s="6" t="inlineStr">
        <is>
          <t>全栈</t>
        </is>
      </c>
      <c r="F28" s="5" t="inlineStr">
        <is>
          <t>盘点 列表+录入（2页）</t>
        </is>
      </c>
      <c r="G28" s="12" t="inlineStr">
        <is>
          <t>V1.1</t>
        </is>
      </c>
      <c r="H28" s="82" t="n">
        <v>3</v>
      </c>
      <c r="I28" s="82">
        <f>H28*(1+汇总!$C$46)</f>
        <v/>
      </c>
      <c r="J28" s="83" t="n">
        <v>46309</v>
      </c>
      <c r="K28" s="10" t="n">
        <v>46311</v>
      </c>
      <c r="L28" s="10" t="inlineStr"/>
      <c r="M28" s="5" t="inlineStr">
        <is>
          <t>V1.0→V1.1（2026-09-06 赶 10 月上线范围调整）</t>
        </is>
      </c>
    </row>
    <row r="29">
      <c r="A29" s="4" t="inlineStr">
        <is>
          <t>B3</t>
        </is>
      </c>
      <c r="B29" s="5" t="inlineStr">
        <is>
          <t>仓储作业 ★核心</t>
        </is>
      </c>
      <c r="C29" s="6" t="inlineStr">
        <is>
          <t>FP3-06</t>
        </is>
      </c>
      <c r="D29" s="5" t="inlineStr">
        <is>
          <t>库存查询：五态 + 组合视图 + 客户在租下钻 + 资产轨迹 + 租入态筛选</t>
        </is>
      </c>
      <c r="E29" s="6" t="inlineStr">
        <is>
          <t>全栈</t>
        </is>
      </c>
      <c r="F29" s="5" t="inlineStr">
        <is>
          <t>库存查询</t>
        </is>
      </c>
      <c r="G29" s="11" t="inlineStr">
        <is>
          <t>V1.0</t>
        </is>
      </c>
      <c r="H29" s="82" t="n">
        <v>3</v>
      </c>
      <c r="I29" s="82">
        <f>H29*(1+汇总!$C$46)</f>
        <v/>
      </c>
      <c r="J29" s="83" t="n">
        <v>46280</v>
      </c>
      <c r="K29" s="10" t="n">
        <v>46281</v>
      </c>
      <c r="L29" s="10" t="inlineStr">
        <is>
          <t>在租台账已并入（G07）；租入态 D-80</t>
        </is>
      </c>
      <c r="M29" s="5" t="n"/>
    </row>
    <row r="30" ht="39" customHeight="1">
      <c r="A30" s="4" t="inlineStr">
        <is>
          <t>B3</t>
        </is>
      </c>
      <c r="B30" s="5" t="inlineStr">
        <is>
          <t>仓储作业 ★核心</t>
        </is>
      </c>
      <c r="C30" s="13" t="inlineStr">
        <is>
          <t>（待补）</t>
        </is>
      </c>
      <c r="D30" s="14" t="inlineStr">
        <is>
          <t>销售出库单：录单 + 出库过账（买卖线）</t>
        </is>
      </c>
      <c r="E30" s="6" t="inlineStr">
        <is>
          <t>全栈</t>
        </is>
      </c>
      <c r="F30" s="14" t="inlineStr">
        <is>
          <t>销售出库列表</t>
        </is>
      </c>
      <c r="G30" s="11" t="inlineStr">
        <is>
          <t>V1.0</t>
        </is>
      </c>
      <c r="H30" s="82" t="n">
        <v>2</v>
      </c>
      <c r="I30" s="82">
        <f>H30*(1+汇总!$C$46)</f>
        <v/>
      </c>
      <c r="J30" s="83" t="n">
        <v>46282</v>
      </c>
      <c r="K30" s="10" t="n">
        <v>46283</v>
      </c>
      <c r="L30" s="10" t="inlineStr"/>
      <c r="M30" s="5" t="inlineStr">
        <is>
          <t>FP 码待补；买卖线核心出库单</t>
        </is>
      </c>
    </row>
    <row r="31">
      <c r="A31" s="4" t="inlineStr">
        <is>
          <t>B3</t>
        </is>
      </c>
      <c r="B31" s="5" t="inlineStr">
        <is>
          <t>仓储作业 ★核心</t>
        </is>
      </c>
      <c r="C31" s="13" t="inlineStr">
        <is>
          <t>（待补）</t>
        </is>
      </c>
      <c r="D31" s="14" t="inlineStr">
        <is>
          <t>其他入库单：盘盈/退货/其他（期初走数据迁移导库·无期初入口）</t>
        </is>
      </c>
      <c r="E31" s="6" t="inlineStr">
        <is>
          <t>全栈</t>
        </is>
      </c>
      <c r="F31" s="14" t="inlineStr">
        <is>
          <t>其他入库列表</t>
        </is>
      </c>
      <c r="G31" s="11" t="inlineStr">
        <is>
          <t>V1.0</t>
        </is>
      </c>
      <c r="H31" s="82" t="n">
        <v>1.5</v>
      </c>
      <c r="I31" s="82">
        <f>H31*(1+汇总!$C$46)</f>
        <v/>
      </c>
      <c r="J31" s="83" t="n">
        <v>46286</v>
      </c>
      <c r="K31" s="10" t="n">
        <v>46287</v>
      </c>
      <c r="L31" s="10" t="inlineStr">
        <is>
          <t>期初不做（D-77）</t>
        </is>
      </c>
      <c r="M31" s="5" t="inlineStr">
        <is>
          <t>FP 码待补</t>
        </is>
      </c>
    </row>
    <row r="32">
      <c r="A32" s="4" t="inlineStr">
        <is>
          <t>B3</t>
        </is>
      </c>
      <c r="B32" s="5" t="inlineStr">
        <is>
          <t>仓储作业 ★核心</t>
        </is>
      </c>
      <c r="C32" s="13" t="inlineStr">
        <is>
          <t>（待补）</t>
        </is>
      </c>
      <c r="D32" s="14" t="inlineStr">
        <is>
          <t>其他出库单：报废/盘亏/赔偿核销/其他</t>
        </is>
      </c>
      <c r="E32" s="6" t="inlineStr">
        <is>
          <t>全栈</t>
        </is>
      </c>
      <c r="F32" s="14" t="inlineStr">
        <is>
          <t>其他出库列表</t>
        </is>
      </c>
      <c r="G32" s="11" t="inlineStr">
        <is>
          <t>V1.0</t>
        </is>
      </c>
      <c r="H32" s="82" t="n">
        <v>1.5</v>
      </c>
      <c r="I32" s="82">
        <f>H32*(1+汇总!$C$46)</f>
        <v/>
      </c>
      <c r="J32" s="83" t="n">
        <v>46288</v>
      </c>
      <c r="K32" s="10" t="n">
        <v>46289</v>
      </c>
      <c r="L32" s="10" t="inlineStr"/>
      <c r="M32" s="5" t="inlineStr">
        <is>
          <t>FP 码待补</t>
        </is>
      </c>
    </row>
    <row r="33">
      <c r="A33" s="4" t="inlineStr">
        <is>
          <t>B3</t>
        </is>
      </c>
      <c r="B33" s="5" t="inlineStr">
        <is>
          <t>仓储作业 ★核心</t>
        </is>
      </c>
      <c r="C33" s="13" t="inlineStr">
        <is>
          <t>（待补）</t>
        </is>
      </c>
      <c r="D33" s="14" t="inlineStr">
        <is>
          <t>库存调拨单：库间调拨 + 过账</t>
        </is>
      </c>
      <c r="E33" s="6" t="inlineStr">
        <is>
          <t>全栈</t>
        </is>
      </c>
      <c r="F33" s="14" t="inlineStr">
        <is>
          <t>库存调拨列表</t>
        </is>
      </c>
      <c r="G33" s="11" t="inlineStr">
        <is>
          <t>V1.0</t>
        </is>
      </c>
      <c r="H33" s="82" t="n">
        <v>1.5</v>
      </c>
      <c r="I33" s="82">
        <f>H33*(1+汇总!$C$46)</f>
        <v/>
      </c>
      <c r="J33" s="83" t="n">
        <v>46290</v>
      </c>
      <c r="K33" s="10" t="n">
        <v>46293</v>
      </c>
      <c r="L33" s="10" t="inlineStr"/>
      <c r="M33" s="5" t="inlineStr">
        <is>
          <t>FP 码待补</t>
        </is>
      </c>
    </row>
    <row r="34" ht="52" customHeight="1">
      <c r="A34" s="4" t="inlineStr">
        <is>
          <t>B3</t>
        </is>
      </c>
      <c r="B34" s="5" t="inlineStr">
        <is>
          <t>仓储作业 ★核心</t>
        </is>
      </c>
      <c r="C34" s="13" t="inlineStr">
        <is>
          <t>（待补）</t>
        </is>
      </c>
      <c r="D34" s="14" t="inlineStr">
        <is>
          <t>租入入库单：凭租入单验收（L3/L4）</t>
        </is>
      </c>
      <c r="E34" s="6" t="inlineStr">
        <is>
          <t>全栈</t>
        </is>
      </c>
      <c r="F34" s="14" t="inlineStr">
        <is>
          <t>租入入库列表</t>
        </is>
      </c>
      <c r="G34" s="12" t="inlineStr">
        <is>
          <t>V2.0</t>
        </is>
      </c>
      <c r="H34" s="82" t="n">
        <v>1.5</v>
      </c>
      <c r="I34" s="82">
        <f>H34*(1+汇总!$C$46)</f>
        <v/>
      </c>
      <c r="J34" s="83" t="n">
        <v>46337</v>
      </c>
      <c r="K34" s="10" t="n">
        <v>46338</v>
      </c>
      <c r="L34" s="10" t="inlineStr"/>
      <c r="M34" s="5" t="inlineStr">
        <is>
          <t>FP 码待补；组装逆向，应对日计划变更</t>
        </is>
      </c>
    </row>
    <row r="35" ht="26" customHeight="1">
      <c r="A35" s="4" t="inlineStr">
        <is>
          <t>B3</t>
        </is>
      </c>
      <c r="B35" s="5" t="inlineStr">
        <is>
          <t>仓储作业 ★核心</t>
        </is>
      </c>
      <c r="C35" s="13" t="inlineStr">
        <is>
          <t>（待补）</t>
        </is>
      </c>
      <c r="D35" s="14" t="inlineStr">
        <is>
          <t>租入归还单：关联租入单+同步明细+分批</t>
        </is>
      </c>
      <c r="E35" s="6" t="inlineStr">
        <is>
          <t>全栈</t>
        </is>
      </c>
      <c r="F35" s="14" t="inlineStr">
        <is>
          <t>租入归还列表+新建</t>
        </is>
      </c>
      <c r="G35" s="16" t="inlineStr">
        <is>
          <t>V2.0</t>
        </is>
      </c>
      <c r="H35" s="82" t="n">
        <v>1.5</v>
      </c>
      <c r="I35" s="82">
        <f>H35*(1+汇总!$C$46)</f>
        <v/>
      </c>
      <c r="J35" s="83" t="n">
        <v>46339</v>
      </c>
      <c r="K35" s="10" t="n">
        <v>46342</v>
      </c>
      <c r="L35" s="10" t="inlineStr">
        <is>
          <t>独立归还事件（D-72）</t>
        </is>
      </c>
      <c r="M35" s="5" t="inlineStr">
        <is>
          <t>FP 码待补；租入体系独立单据（09-04 拍板）</t>
        </is>
      </c>
    </row>
    <row r="36">
      <c r="A36" s="4" t="inlineStr">
        <is>
          <t>B4</t>
        </is>
      </c>
      <c r="B36" s="5" t="inlineStr">
        <is>
          <t>租赁管理</t>
        </is>
      </c>
      <c r="C36" s="13" t="inlineStr">
        <is>
          <t>FP4-03</t>
        </is>
      </c>
      <c r="D36" s="14" t="inlineStr">
        <is>
          <t>计费与租价管理：三段式计费（方式+周期+数值）·四参考价口径</t>
        </is>
      </c>
      <c r="E36" s="6" t="inlineStr">
        <is>
          <t>全栈</t>
        </is>
      </c>
      <c r="F36" s="14" t="inlineStr">
        <is>
          <t>产品档案租价区+单据计费</t>
        </is>
      </c>
      <c r="G36" s="16" t="inlineStr">
        <is>
          <t>V1.1</t>
        </is>
      </c>
      <c r="H36" s="82" t="n">
        <v>3</v>
      </c>
      <c r="I36" s="82">
        <f>H36*(1+汇总!$C$46)</f>
        <v/>
      </c>
      <c r="J36" s="83" t="n">
        <v>46307</v>
      </c>
      <c r="K36" s="10" t="n">
        <v>46310</v>
      </c>
      <c r="L36" s="10" t="inlineStr">
        <is>
          <t>计费已拍板三段式（D-91 按次无周期单位）；无日租金</t>
        </is>
      </c>
      <c r="M36" s="5" t="inlineStr">
        <is>
          <t>FP 码待补</t>
        </is>
      </c>
    </row>
    <row r="37" ht="26" customHeight="1">
      <c r="A37" s="4" t="inlineStr">
        <is>
          <t>B4</t>
        </is>
      </c>
      <c r="B37" s="5" t="inlineStr">
        <is>
          <t>租赁管理</t>
        </is>
      </c>
      <c r="C37" s="6" t="inlineStr">
        <is>
          <t>FP4-05</t>
        </is>
      </c>
      <c r="D37" s="5" t="inlineStr">
        <is>
          <t>租赁单：三段计费+优先查库存（不足双按钮生成采购订单/租入单）+退回进度+背靠背草稿</t>
        </is>
      </c>
      <c r="E37" s="6" t="inlineStr">
        <is>
          <t>全栈</t>
        </is>
      </c>
      <c r="F37" s="5" t="inlineStr">
        <is>
          <t>租赁单列表+新建弹窗</t>
        </is>
      </c>
      <c r="G37" s="12" t="inlineStr">
        <is>
          <t>V1.1</t>
        </is>
      </c>
      <c r="H37" s="82" t="n">
        <v>3</v>
      </c>
      <c r="I37" s="82">
        <f>H37*(1+汇总!$C$46)</f>
        <v/>
      </c>
      <c r="J37" s="83" t="n">
        <v>46314</v>
      </c>
      <c r="K37" s="10" t="n">
        <v>46316</v>
      </c>
      <c r="L37" s="10" t="inlineStr">
        <is>
          <t>租出台账已并入（退回进度列·G07）；库存不足双按钮=P0（D-86）</t>
        </is>
      </c>
      <c r="M37" s="5" t="inlineStr">
        <is>
          <t>资产来源标记（v2.8）</t>
        </is>
      </c>
    </row>
    <row r="38">
      <c r="A38" s="4" t="inlineStr">
        <is>
          <t>B4</t>
        </is>
      </c>
      <c r="B38" s="5" t="inlineStr">
        <is>
          <t>租赁管理</t>
        </is>
      </c>
      <c r="C38" s="6" t="inlineStr">
        <is>
          <t>（待补）</t>
        </is>
      </c>
      <c r="D38" s="5" t="inlineStr">
        <is>
          <t>租入单：新建草稿三步+供应商税率带出+审核</t>
        </is>
      </c>
      <c r="E38" s="6" t="inlineStr">
        <is>
          <t>全栈</t>
        </is>
      </c>
      <c r="F38" s="5" t="inlineStr">
        <is>
          <t>租入单列表</t>
        </is>
      </c>
      <c r="G38" s="12" t="inlineStr">
        <is>
          <t>V2.0</t>
        </is>
      </c>
      <c r="H38" s="82" t="n">
        <v>2</v>
      </c>
      <c r="I38" s="82">
        <f>H38*(1+汇总!$C$46)</f>
        <v/>
      </c>
      <c r="J38" s="83" t="n">
        <v>46332</v>
      </c>
      <c r="K38" s="10" t="n">
        <v>46336</v>
      </c>
      <c r="L38" s="10" t="inlineStr">
        <is>
          <t>自 B8 移入（菜单归租赁管理租入组）</t>
        </is>
      </c>
      <c r="M38" s="5" t="n"/>
    </row>
    <row r="39" ht="26" customHeight="1">
      <c r="A39" s="4" t="inlineStr">
        <is>
          <t>B5</t>
        </is>
      </c>
      <c r="B39" s="5" t="inlineStr">
        <is>
          <t>销售管理</t>
        </is>
      </c>
      <c r="C39" s="6" t="inlineStr">
        <is>
          <t>FP5-01</t>
        </is>
      </c>
      <c r="D39" s="5" t="inlineStr">
        <is>
          <t>销售订单（代下单）：统一订单列表+附件上传+关闭/提前终止</t>
        </is>
      </c>
      <c r="E39" s="6" t="inlineStr">
        <is>
          <t>全栈</t>
        </is>
      </c>
      <c r="F39" s="5" t="inlineStr">
        <is>
          <t>销售订单列表</t>
        </is>
      </c>
      <c r="G39" s="12" t="inlineStr">
        <is>
          <t>V1.0</t>
        </is>
      </c>
      <c r="H39" s="82" t="n">
        <v>2</v>
      </c>
      <c r="I39" s="82">
        <f>H39*(1+汇总!$C$46)</f>
        <v/>
      </c>
      <c r="J39" s="83" t="n">
        <v>46276</v>
      </c>
      <c r="K39" s="10" t="n">
        <v>46279</v>
      </c>
      <c r="L39" s="10" t="inlineStr">
        <is>
          <t>项目经理代下单（客户 PO）；订单关闭+提前终止（09-14 拍板）</t>
        </is>
      </c>
      <c r="M39" s="5" t="inlineStr">
        <is>
          <t>#1 计费规则未确认；租金自动计费（US-14）暂不在基线</t>
        </is>
      </c>
    </row>
    <row r="40" ht="26" customHeight="1">
      <c r="A40" s="4" t="inlineStr">
        <is>
          <t>B5</t>
        </is>
      </c>
      <c r="B40" s="5" t="inlineStr">
        <is>
          <t>销售管理</t>
        </is>
      </c>
      <c r="C40" s="6" t="inlineStr">
        <is>
          <t>FP5-02</t>
        </is>
      </c>
      <c r="D40" s="5" t="inlineStr">
        <is>
          <t>订单审核：工作台 + 审核流转</t>
        </is>
      </c>
      <c r="E40" s="6" t="inlineStr">
        <is>
          <t>全栈</t>
        </is>
      </c>
      <c r="F40" s="5" t="inlineStr">
        <is>
          <t>销售订单审核弹窗</t>
        </is>
      </c>
      <c r="G40" s="12" t="inlineStr">
        <is>
          <t>V1.0</t>
        </is>
      </c>
      <c r="H40" s="82" t="n">
        <v>1</v>
      </c>
      <c r="I40" s="82">
        <f>H40*(1+汇总!$C$46)</f>
        <v/>
      </c>
      <c r="J40" s="83" t="n">
        <v>46281</v>
      </c>
      <c r="K40" s="10" t="n">
        <v>46281</v>
      </c>
      <c r="L40" s="10" t="inlineStr"/>
      <c r="M40" s="5" t="inlineStr">
        <is>
          <t>按对象转单据：客户→应收 / 运营方·供应商→应付（道远 09-04 拍板）</t>
        </is>
      </c>
    </row>
    <row r="41" ht="52" customHeight="1">
      <c r="A41" s="4" t="inlineStr">
        <is>
          <t>B5</t>
        </is>
      </c>
      <c r="B41" s="5" t="inlineStr">
        <is>
          <t>销售管理</t>
        </is>
      </c>
      <c r="C41" s="6" t="inlineStr">
        <is>
          <t>FP5-03</t>
        </is>
      </c>
      <c r="D41" s="5" t="inlineStr">
        <is>
          <t>订单同步（路凯）：同步通道 + 记录重发</t>
        </is>
      </c>
      <c r="E41" s="6" t="inlineStr">
        <is>
          <t>全栈</t>
        </is>
      </c>
      <c r="F41" s="5" t="inlineStr">
        <is>
          <t>后台通道（无独立页）</t>
        </is>
      </c>
      <c r="G41" s="12" t="inlineStr">
        <is>
          <t>V2.0</t>
        </is>
      </c>
      <c r="H41" s="82" t="n">
        <v>4</v>
      </c>
      <c r="I41" s="82">
        <f>H41*(1+汇总!$C$46)</f>
        <v/>
      </c>
      <c r="J41" s="83" t="n">
        <v>46337</v>
      </c>
      <c r="K41" s="10" t="n">
        <v>46343</v>
      </c>
      <c r="L41" s="10" t="inlineStr">
        <is>
          <t>#6 对接方式待定，按导出/接口两档</t>
        </is>
      </c>
      <c r="M41" s="5" t="inlineStr">
        <is>
          <t>替代原「客户下单」，关联项目与客户</t>
        </is>
      </c>
    </row>
    <row r="42" ht="52" customHeight="1">
      <c r="A42" s="4" t="inlineStr">
        <is>
          <t>B5</t>
        </is>
      </c>
      <c r="B42" s="5" t="inlineStr">
        <is>
          <t>销售管理</t>
        </is>
      </c>
      <c r="C42" s="13" t="inlineStr">
        <is>
          <t>FP5-04</t>
        </is>
      </c>
      <c r="D42" s="14" t="inlineStr">
        <is>
          <t>结算数据导出：数据生成 + 传递</t>
        </is>
      </c>
      <c r="E42" s="6" t="inlineStr">
        <is>
          <t>全栈</t>
        </is>
      </c>
      <c r="F42" s="14" t="inlineStr">
        <is>
          <t>后台逻辑 + 导出入口</t>
        </is>
      </c>
      <c r="G42" s="12" t="inlineStr">
        <is>
          <t>V2.0</t>
        </is>
      </c>
      <c r="H42" s="82" t="n">
        <v>2</v>
      </c>
      <c r="I42" s="82">
        <f>H42*(1+汇总!$C$46)</f>
        <v/>
      </c>
      <c r="J42" s="83" t="n">
        <v>46335</v>
      </c>
      <c r="K42" s="10" t="n">
        <v>46336</v>
      </c>
      <c r="L42" s="10" t="inlineStr">
        <is>
          <t>#6 结算格式待路凯方提供；对账通用化（D-87）</t>
        </is>
      </c>
      <c r="M42" s="5" t="inlineStr">
        <is>
          <t>FP 码待补；L4 退租申请节点（v2.8）</t>
        </is>
      </c>
    </row>
    <row r="43" ht="26" customHeight="1">
      <c r="A43" s="4" t="inlineStr">
        <is>
          <t>B6</t>
        </is>
      </c>
      <c r="B43" s="5" t="inlineStr">
        <is>
          <t>财务协同</t>
        </is>
      </c>
      <c r="C43" s="6" t="inlineStr">
        <is>
          <t>FP6-01</t>
        </is>
      </c>
      <c r="D43" s="5" t="inlineStr">
        <is>
          <t>应收账单：六来源（租赁费/销售费/丢损赔偿/供应商应收/押金/预收）自动汇总+手填</t>
        </is>
      </c>
      <c r="E43" s="6" t="inlineStr">
        <is>
          <t>全栈</t>
        </is>
      </c>
      <c r="F43" s="5" t="inlineStr">
        <is>
          <t>应收账单</t>
        </is>
      </c>
      <c r="G43" s="11" t="inlineStr">
        <is>
          <t>V1.0</t>
        </is>
      </c>
      <c r="H43" s="82" t="n">
        <v>3</v>
      </c>
      <c r="I43" s="82">
        <f>H43*(1+汇总!$C$46)</f>
        <v/>
      </c>
      <c r="J43" s="83" t="n">
        <v>46282</v>
      </c>
      <c r="K43" s="10" t="n">
        <v>46286</v>
      </c>
      <c r="L43" s="10" t="inlineStr">
        <is>
          <t>押金入应收（D-82）；供应商应收手填建单</t>
        </is>
      </c>
      <c r="M43" s="5" t="inlineStr">
        <is>
          <t>REQ-07：客户发 PO、不再分客户端；V1.0 先跑买卖线订单</t>
        </is>
      </c>
    </row>
    <row r="44">
      <c r="A44" s="4" t="inlineStr">
        <is>
          <t>B6</t>
        </is>
      </c>
      <c r="B44" s="5" t="inlineStr">
        <is>
          <t>财务协同</t>
        </is>
      </c>
      <c r="C44" s="6" t="inlineStr">
        <is>
          <t>FP6-02</t>
        </is>
      </c>
      <c r="D44" s="5" t="inlineStr">
        <is>
          <t>开票登记与发票上传：登记 + 应收关联</t>
        </is>
      </c>
      <c r="E44" s="6" t="inlineStr">
        <is>
          <t>全栈</t>
        </is>
      </c>
      <c r="F44" s="5" t="inlineStr">
        <is>
          <t>开票登记</t>
        </is>
      </c>
      <c r="G44" s="11" t="inlineStr">
        <is>
          <t>V2.0</t>
        </is>
      </c>
      <c r="H44" s="82" t="n">
        <v>1.5</v>
      </c>
      <c r="I44" s="82">
        <f>H44*(1+汇总!$C$46)</f>
        <v/>
      </c>
      <c r="J44" s="83" t="n">
        <v>46337</v>
      </c>
      <c r="K44" s="10" t="n">
        <v>46338</v>
      </c>
      <c r="L44" s="10" t="inlineStr">
        <is>
          <t>#8 开票主体信息</t>
        </is>
      </c>
      <c r="M44" s="5" t="n"/>
    </row>
    <row r="45" ht="52" customHeight="1">
      <c r="A45" s="4" t="inlineStr">
        <is>
          <t>B6</t>
        </is>
      </c>
      <c r="B45" s="5" t="inlineStr">
        <is>
          <t>财务协同</t>
        </is>
      </c>
      <c r="C45" s="6" t="inlineStr">
        <is>
          <t>FP6-03</t>
        </is>
      </c>
      <c r="D45" s="5" t="inlineStr">
        <is>
          <t>回款登记：到账录入 + 关联</t>
        </is>
      </c>
      <c r="E45" s="6" t="inlineStr">
        <is>
          <t>全栈</t>
        </is>
      </c>
      <c r="F45" s="5" t="inlineStr">
        <is>
          <t>回款登记</t>
        </is>
      </c>
      <c r="G45" s="16" t="inlineStr">
        <is>
          <t>V1.0</t>
        </is>
      </c>
      <c r="H45" s="82" t="n">
        <v>1.5</v>
      </c>
      <c r="I45" s="82">
        <f>H45*(1+汇总!$C$46)</f>
        <v/>
      </c>
      <c r="J45" s="83" t="n">
        <v>46287</v>
      </c>
      <c r="K45" s="10" t="n">
        <v>46288</v>
      </c>
      <c r="L45" s="10" t="inlineStr"/>
      <c r="M45" s="5" t="inlineStr">
        <is>
          <t>#6 对接方式待定，评估按导出/接口两档</t>
        </is>
      </c>
    </row>
    <row r="46" ht="39" customHeight="1">
      <c r="A46" s="4" t="inlineStr">
        <is>
          <t>B6</t>
        </is>
      </c>
      <c r="B46" s="5" t="inlineStr">
        <is>
          <t>财务协同</t>
        </is>
      </c>
      <c r="C46" s="6" t="inlineStr">
        <is>
          <t>FP6-04</t>
        </is>
      </c>
      <c r="D46" s="5" t="inlineStr">
        <is>
          <t>银行水单核销：导入勾对 + 部分核销 + 对账联调</t>
        </is>
      </c>
      <c r="E46" s="6" t="inlineStr">
        <is>
          <t>全栈</t>
        </is>
      </c>
      <c r="F46" s="5" t="inlineStr">
        <is>
          <t>银行水单核销</t>
        </is>
      </c>
      <c r="G46" s="16" t="inlineStr">
        <is>
          <t>V2.0</t>
        </is>
      </c>
      <c r="H46" s="82" t="n">
        <v>4</v>
      </c>
      <c r="I46" s="82">
        <f>H46*(1+汇总!$C$46)</f>
        <v/>
      </c>
      <c r="J46" s="83" t="n">
        <v>46343</v>
      </c>
      <c r="K46" s="10" t="n">
        <v>46349</v>
      </c>
      <c r="L46" s="10" t="inlineStr">
        <is>
          <t>#5 水单样例</t>
        </is>
      </c>
      <c r="M46" s="5" t="inlineStr">
        <is>
          <t>#6 结算格式待路凯方提供</t>
        </is>
      </c>
    </row>
    <row r="47">
      <c r="A47" s="4" t="inlineStr">
        <is>
          <t>B6</t>
        </is>
      </c>
      <c r="B47" s="5" t="inlineStr">
        <is>
          <t>财务协同</t>
        </is>
      </c>
      <c r="C47" s="6" t="inlineStr">
        <is>
          <t>FP6-05</t>
        </is>
      </c>
      <c r="D47" s="5" t="inlineStr">
        <is>
          <t>财务看板（盈亏报表）：汇总计算 + 报表页</t>
        </is>
      </c>
      <c r="E47" s="6" t="inlineStr">
        <is>
          <t>全栈</t>
        </is>
      </c>
      <c r="F47" s="5" t="inlineStr">
        <is>
          <t>盈亏报表（菜单名=财务看板）</t>
        </is>
      </c>
      <c r="G47" s="11" t="inlineStr">
        <is>
          <t>V2.0</t>
        </is>
      </c>
      <c r="H47" s="82" t="n">
        <v>2.5</v>
      </c>
      <c r="I47" s="82">
        <f>H47*(1+汇总!$C$46)</f>
        <v/>
      </c>
      <c r="J47" s="83" t="n">
        <v>46343</v>
      </c>
      <c r="K47" s="10" t="n">
        <v>46345</v>
      </c>
      <c r="L47" s="10" t="inlineStr">
        <is>
          <t>应收应付数据齐后才准</t>
        </is>
      </c>
      <c r="M47" s="5" t="n"/>
    </row>
    <row r="48" ht="26" customHeight="1">
      <c r="A48" s="4" t="inlineStr">
        <is>
          <t>B6</t>
        </is>
      </c>
      <c r="B48" s="5" t="inlineStr">
        <is>
          <t>财务协同</t>
        </is>
      </c>
      <c r="C48" s="6" t="inlineStr">
        <is>
          <t>FP6-06</t>
        </is>
      </c>
      <c r="D48" s="5" t="inlineStr">
        <is>
          <t>应付账单：五来源（采购/租金/赔付供应商/对客户/无订单预付）+押金退还+退款口径</t>
        </is>
      </c>
      <c r="E48" s="6" t="inlineStr">
        <is>
          <t>全栈</t>
        </is>
      </c>
      <c r="F48" s="5" t="inlineStr">
        <is>
          <t>应付账单</t>
        </is>
      </c>
      <c r="G48" s="16" t="inlineStr">
        <is>
          <t>V1.1</t>
        </is>
      </c>
      <c r="H48" s="82" t="n">
        <v>2.5</v>
      </c>
      <c r="I48" s="82">
        <f>H48*(1+汇总!$C$46)</f>
        <v/>
      </c>
      <c r="J48" s="83" t="n">
        <v>46282</v>
      </c>
      <c r="K48" s="10" t="n">
        <v>46287</v>
      </c>
      <c r="L48" s="10" t="inlineStr">
        <is>
          <t>押金退流行（D-82）；预付退款同口径（D-83）</t>
        </is>
      </c>
      <c r="M48" s="5" t="inlineStr">
        <is>
          <t>依赖 #8 开票主体信息</t>
        </is>
      </c>
    </row>
    <row r="49">
      <c r="A49" s="4" t="inlineStr">
        <is>
          <t>B6</t>
        </is>
      </c>
      <c r="B49" s="5" t="inlineStr">
        <is>
          <t>财务协同</t>
        </is>
      </c>
      <c r="C49" s="6" t="inlineStr">
        <is>
          <t>FP6-07</t>
        </is>
      </c>
      <c r="D49" s="5" t="inlineStr">
        <is>
          <t>付款登记：银行付款录入+分期计划，关联应付</t>
        </is>
      </c>
      <c r="E49" s="6" t="inlineStr">
        <is>
          <t>全栈</t>
        </is>
      </c>
      <c r="F49" s="5" t="inlineStr">
        <is>
          <t>付款登记</t>
        </is>
      </c>
      <c r="G49" s="11" t="inlineStr">
        <is>
          <t>V1.1</t>
        </is>
      </c>
      <c r="H49" s="82" t="n">
        <v>1.5</v>
      </c>
      <c r="I49" s="82">
        <f>H49*(1+汇总!$C$46)</f>
        <v/>
      </c>
      <c r="J49" s="83" t="n">
        <v>46288</v>
      </c>
      <c r="K49" s="10" t="n">
        <v>46289</v>
      </c>
      <c r="L49" s="10" t="inlineStr">
        <is>
          <t>分期比例⇄金额互算</t>
        </is>
      </c>
      <c r="M49" s="5" t="n"/>
    </row>
    <row r="50" ht="26" customHeight="1">
      <c r="A50" s="4" t="inlineStr">
        <is>
          <t>B7</t>
        </is>
      </c>
      <c r="B50" s="5" t="inlineStr">
        <is>
          <t>系统管理</t>
        </is>
      </c>
      <c r="C50" s="6" t="inlineStr">
        <is>
          <t>FP7-01</t>
        </is>
      </c>
      <c r="D50" s="15" t="inlineStr">
        <is>
          <t>组织与权限：7 角色+可审单据矩阵 16 类+数据权限三档（我方账号·客户/供应商账号本版不做）</t>
        </is>
      </c>
      <c r="E50" s="6" t="inlineStr">
        <is>
          <t>全栈</t>
        </is>
      </c>
      <c r="F50" s="5" t="inlineStr">
        <is>
          <t>用户权限+角色管理</t>
        </is>
      </c>
      <c r="G50" s="16" t="inlineStr">
        <is>
          <t>V1.0</t>
        </is>
      </c>
      <c r="H50" s="82" t="n">
        <v>1.5</v>
      </c>
      <c r="I50" s="82">
        <f>H50*(1+汇总!$C$46)</f>
        <v/>
      </c>
      <c r="J50" s="83" t="n">
        <v>46289</v>
      </c>
      <c r="K50" s="10" t="n">
        <v>46290</v>
      </c>
      <c r="L50" s="10" t="inlineStr">
        <is>
          <t>roles 9→7（D-89）；矩阵 16=待办 16（D-79）</t>
        </is>
      </c>
      <c r="M50" s="5" t="inlineStr">
        <is>
          <t>现状缺失环节；依赖 #5 水单样例</t>
        </is>
      </c>
    </row>
    <row r="51" ht="39" customHeight="1">
      <c r="A51" s="4" t="inlineStr">
        <is>
          <t>B7</t>
        </is>
      </c>
      <c r="B51" s="5" t="inlineStr">
        <is>
          <t>系统管理</t>
        </is>
      </c>
      <c r="C51" s="6" t="inlineStr">
        <is>
          <t>FP7-02</t>
        </is>
      </c>
      <c r="D51" s="5" t="inlineStr">
        <is>
          <t>操作日志：埋点存储 + 查询页</t>
        </is>
      </c>
      <c r="E51" s="6" t="inlineStr">
        <is>
          <t>全栈</t>
        </is>
      </c>
      <c r="F51" s="5" t="inlineStr">
        <is>
          <t>操作日志</t>
        </is>
      </c>
      <c r="G51" s="16" t="inlineStr">
        <is>
          <t>V2.0</t>
        </is>
      </c>
      <c r="H51" s="82" t="n">
        <v>0.5</v>
      </c>
      <c r="I51" s="82">
        <f>H51*(1+汇总!$C$46)</f>
        <v/>
      </c>
      <c r="J51" s="83" t="n">
        <v>46339</v>
      </c>
      <c r="K51" s="10" t="n">
        <v>46339</v>
      </c>
      <c r="L51" s="10" t="inlineStr"/>
      <c r="M51" s="5" t="inlineStr">
        <is>
          <t>须应收应付数据齐后才准</t>
        </is>
      </c>
    </row>
    <row r="52" ht="26" customHeight="1">
      <c r="A52" s="4" t="inlineStr">
        <is>
          <t>B7</t>
        </is>
      </c>
      <c r="B52" s="5" t="inlineStr">
        <is>
          <t>系统管理</t>
        </is>
      </c>
      <c r="C52" s="6" t="inlineStr">
        <is>
          <t>FP7-03</t>
        </is>
      </c>
      <c r="D52" s="15" t="inlineStr">
        <is>
          <t>数据字典：24 组业务字典配置（枚举值域统一管理）</t>
        </is>
      </c>
      <c r="E52" s="6" t="inlineStr">
        <is>
          <t>全栈</t>
        </is>
      </c>
      <c r="F52" s="5" t="inlineStr">
        <is>
          <t>数据字典</t>
        </is>
      </c>
      <c r="G52" s="12" t="inlineStr">
        <is>
          <t>V2.0</t>
        </is>
      </c>
      <c r="H52" s="82" t="n">
        <v>1</v>
      </c>
      <c r="I52" s="82">
        <f>H52*(1+汇总!$C$46)</f>
        <v/>
      </c>
      <c r="J52" s="83" t="n">
        <v>46342</v>
      </c>
      <c r="K52" s="10" t="n">
        <v>46342</v>
      </c>
      <c r="L52" s="10" t="inlineStr">
        <is>
          <t>G30 收录 13 组后 24 组 98 项</t>
        </is>
      </c>
      <c r="M52" s="5" t="inlineStr">
        <is>
          <t>REQ-21；V1.1 简化版（登记+记录），完整核销流 V2.0</t>
        </is>
      </c>
    </row>
    <row r="53" ht="26" customHeight="1">
      <c r="A53" s="4" t="inlineStr">
        <is>
          <t>B8</t>
        </is>
      </c>
      <c r="B53" s="5" t="inlineStr">
        <is>
          <t>采购管理</t>
        </is>
      </c>
      <c r="C53" s="6" t="inlineStr">
        <is>
          <t>FP8-01</t>
        </is>
      </c>
      <c r="D53" s="15" t="inlineStr">
        <is>
          <t>采购订单：新建 + 列表（独立采购线·不以销定采）</t>
        </is>
      </c>
      <c r="E53" s="6" t="inlineStr">
        <is>
          <t>全栈</t>
        </is>
      </c>
      <c r="F53" s="5" t="inlineStr">
        <is>
          <t>采购订单列表</t>
        </is>
      </c>
      <c r="G53" s="12" t="inlineStr">
        <is>
          <t>V1.0</t>
        </is>
      </c>
      <c r="H53" s="82" t="n">
        <v>2</v>
      </c>
      <c r="I53" s="82">
        <f>H53*(1+汇总!$C$46)</f>
        <v/>
      </c>
      <c r="J53" s="83" t="n">
        <v>46286</v>
      </c>
      <c r="K53" s="10" t="n">
        <v>46287</v>
      </c>
      <c r="L53" s="10" t="inlineStr"/>
      <c r="M53" s="5" t="inlineStr">
        <is>
          <t>REQ-21</t>
        </is>
      </c>
    </row>
    <row r="54" ht="26" customHeight="1">
      <c r="A54" s="4" t="inlineStr">
        <is>
          <t>B8</t>
        </is>
      </c>
      <c r="B54" s="5" t="inlineStr">
        <is>
          <t>采购管理</t>
        </is>
      </c>
      <c r="C54" s="6" t="inlineStr">
        <is>
          <t>FP8-02</t>
        </is>
      </c>
      <c r="D54" s="5" t="inlineStr">
        <is>
          <t>采购订单审核：状态流</t>
        </is>
      </c>
      <c r="E54" s="6" t="inlineStr">
        <is>
          <t>全栈</t>
        </is>
      </c>
      <c r="F54" s="5" t="inlineStr">
        <is>
          <t>采购订单审核弹窗</t>
        </is>
      </c>
      <c r="G54" s="11" t="inlineStr">
        <is>
          <t>V1.0</t>
        </is>
      </c>
      <c r="H54" s="82" t="n">
        <v>1</v>
      </c>
      <c r="I54" s="82">
        <f>H54*(1+汇总!$C$46)</f>
        <v/>
      </c>
      <c r="J54" s="83" t="n">
        <v>46288</v>
      </c>
      <c r="K54" s="10" t="n">
        <v>46288</v>
      </c>
      <c r="L54" s="10" t="inlineStr"/>
      <c r="M54" s="5" t="n"/>
    </row>
    <row r="55">
      <c r="A55" s="4" t="inlineStr">
        <is>
          <t>B8</t>
        </is>
      </c>
      <c r="B55" s="5" t="inlineStr">
        <is>
          <t>采购管理</t>
        </is>
      </c>
      <c r="C55" s="6" t="inlineStr">
        <is>
          <t>FP8-03</t>
        </is>
      </c>
      <c r="D55" s="5" t="inlineStr">
        <is>
          <t>采购入库（发起）：到货登记关联采购订单</t>
        </is>
      </c>
      <c r="E55" s="6" t="inlineStr">
        <is>
          <t>全栈</t>
        </is>
      </c>
      <c r="F55" s="5" t="inlineStr">
        <is>
          <t>采购入库列表</t>
        </is>
      </c>
      <c r="G55" s="16" t="inlineStr">
        <is>
          <t>V1.0</t>
        </is>
      </c>
      <c r="H55" s="82" t="n">
        <v>1.5</v>
      </c>
      <c r="I55" s="82">
        <f>H55*(1+汇总!$C$46)</f>
        <v/>
      </c>
      <c r="J55" s="83" t="n">
        <v>46289</v>
      </c>
      <c r="K55" s="10" t="n">
        <v>46290</v>
      </c>
      <c r="L55" s="10" t="inlineStr">
        <is>
          <t>执行由 FP3-01 承接</t>
        </is>
      </c>
      <c r="M55" s="5" t="n"/>
    </row>
    <row r="56">
      <c r="A56" s="4" t="inlineStr">
        <is>
          <t>B8</t>
        </is>
      </c>
      <c r="B56" s="5" t="inlineStr">
        <is>
          <t>采购管理</t>
        </is>
      </c>
      <c r="C56" s="6" t="inlineStr">
        <is>
          <t>FP8-04</t>
        </is>
      </c>
      <c r="D56" s="5" t="inlineStr">
        <is>
          <t>销售订单（买卖线）：客户购买订单</t>
        </is>
      </c>
      <c r="E56" s="6" t="inlineStr">
        <is>
          <t>全栈</t>
        </is>
      </c>
      <c r="F56" s="5" t="inlineStr">
        <is>
          <t>销售订单列表（与 FP5-01 同页两线）</t>
        </is>
      </c>
      <c r="G56" s="16" t="inlineStr">
        <is>
          <t>V1.0</t>
        </is>
      </c>
      <c r="H56" s="82" t="n">
        <v>1.5</v>
      </c>
      <c r="I56" s="82">
        <f>H56*(1+汇总!$C$46)</f>
        <v/>
      </c>
      <c r="J56" s="83" t="n">
        <v>46293</v>
      </c>
      <c r="K56" s="10" t="n">
        <v>46294</v>
      </c>
      <c r="L56" s="10" t="inlineStr"/>
      <c r="M56" s="5" t="n"/>
    </row>
    <row r="57" ht="52" customHeight="1">
      <c r="A57" s="4" t="inlineStr">
        <is>
          <t>C1</t>
        </is>
      </c>
      <c r="B57" s="5" t="inlineStr">
        <is>
          <t>测试</t>
        </is>
      </c>
      <c r="C57" s="6" t="inlineStr">
        <is>
          <t>—</t>
        </is>
      </c>
      <c r="D57" s="5" t="inlineStr">
        <is>
          <t>集成测试用例编写与执行（F01 v3.6 七泳道 B1/L1-L4/T1/T2 + 16 类待办）</t>
        </is>
      </c>
      <c r="E57" s="6" t="inlineStr">
        <is>
          <t>测试</t>
        </is>
      </c>
      <c r="F57" s="5" t="inlineStr">
        <is>
          <t>F01 导航图 v3.6</t>
        </is>
      </c>
      <c r="G57" s="11" t="inlineStr">
        <is>
          <t>各版</t>
        </is>
      </c>
      <c r="H57" s="82" t="n">
        <v>10</v>
      </c>
      <c r="I57" s="82">
        <f>H57*(1+汇总!$C$46)</f>
        <v/>
      </c>
      <c r="J57" s="83" t="n">
        <v>46303</v>
      </c>
      <c r="K57" s="10" t="n">
        <v>46360</v>
      </c>
      <c r="L57" s="10" t="inlineStr">
        <is>
          <t>覆盖五条主线+财务双通道</t>
        </is>
      </c>
      <c r="M57" s="5" t="inlineStr">
        <is>
          <t>B1 采购线（09-04 拍板，不以销定采）</t>
        </is>
      </c>
    </row>
    <row r="58">
      <c r="A58" s="4" t="inlineStr">
        <is>
          <t>C1</t>
        </is>
      </c>
      <c r="B58" s="5" t="inlineStr">
        <is>
          <t>测试</t>
        </is>
      </c>
      <c r="C58" s="6" t="inlineStr">
        <is>
          <t>—</t>
        </is>
      </c>
      <c r="D58" s="5" t="inlineStr">
        <is>
          <t>UAT 支持与缺陷修复</t>
        </is>
      </c>
      <c r="E58" s="6" t="inlineStr">
        <is>
          <t>测试</t>
        </is>
      </c>
      <c r="F58" s="5" t="inlineStr">
        <is>
          <t>—</t>
        </is>
      </c>
      <c r="G58" s="11" t="inlineStr">
        <is>
          <t>各版</t>
        </is>
      </c>
      <c r="H58" s="82" t="n">
        <v>7</v>
      </c>
      <c r="I58" s="82">
        <f>H58*(1+汇总!$C$46)</f>
        <v/>
      </c>
      <c r="J58" s="83" t="n">
        <v>46309</v>
      </c>
      <c r="K58" s="10" t="n">
        <v>46360</v>
      </c>
      <c r="L58" s="10" t="inlineStr"/>
      <c r="M58" s="5" t="n"/>
    </row>
    <row r="59" ht="39" customHeight="1">
      <c r="A59" s="4" t="inlineStr">
        <is>
          <t>C2</t>
        </is>
      </c>
      <c r="B59" s="5" t="inlineStr">
        <is>
          <t>数据迁移</t>
        </is>
      </c>
      <c r="C59" s="6" t="inlineStr">
        <is>
          <t>—</t>
        </is>
      </c>
      <c r="D59" s="5" t="inlineStr">
        <is>
          <t>主数据整理与导入模板</t>
        </is>
      </c>
      <c r="E59" s="6" t="inlineStr">
        <is>
          <t>迁移</t>
        </is>
      </c>
      <c r="F59" s="5" t="inlineStr">
        <is>
          <t>—</t>
        </is>
      </c>
      <c r="G59" s="11" t="inlineStr">
        <is>
          <t>各版</t>
        </is>
      </c>
      <c r="H59" s="82" t="n">
        <v>4</v>
      </c>
      <c r="I59" s="82">
        <f>H59*(1+汇总!$C$46)</f>
        <v/>
      </c>
      <c r="J59" s="83" t="n">
        <v>46303</v>
      </c>
      <c r="K59" s="10" t="n">
        <v>46358</v>
      </c>
      <c r="L59" s="10" t="inlineStr">
        <is>
          <t>#4 主数据清单</t>
        </is>
      </c>
      <c r="M59" s="5" t="inlineStr">
        <is>
          <t>执行由 FP3-01 承接</t>
        </is>
      </c>
    </row>
    <row r="60" ht="26" customHeight="1">
      <c r="A60" s="4" t="inlineStr">
        <is>
          <t>C2</t>
        </is>
      </c>
      <c r="B60" s="5" t="inlineStr">
        <is>
          <t>数据迁移</t>
        </is>
      </c>
      <c r="C60" s="6" t="inlineStr">
        <is>
          <t>—</t>
        </is>
      </c>
      <c r="D60" s="5" t="inlineStr">
        <is>
          <t>期初库存与在租数据迁移（五态含租入·期初直接导库）</t>
        </is>
      </c>
      <c r="E60" s="6" t="inlineStr">
        <is>
          <t>迁移</t>
        </is>
      </c>
      <c r="F60" s="5" t="inlineStr">
        <is>
          <t>—</t>
        </is>
      </c>
      <c r="G60" s="11" t="inlineStr">
        <is>
          <t>各版</t>
        </is>
      </c>
      <c r="H60" s="82" t="n">
        <v>6</v>
      </c>
      <c r="I60" s="82">
        <f>H60*(1+汇总!$C$46)</f>
        <v/>
      </c>
      <c r="J60" s="83" t="n">
        <v>46308</v>
      </c>
      <c r="K60" s="10" t="n">
        <v>46359</v>
      </c>
      <c r="L60" s="10" t="inlineStr">
        <is>
          <t>#5 现有台账导出；期初走迁移（D-77）</t>
        </is>
      </c>
      <c r="M60" s="5" t="inlineStr">
        <is>
          <t>审核后走销售出库（B3·V1.0）</t>
        </is>
      </c>
    </row>
    <row r="61" ht="52" customHeight="1">
      <c r="A61" s="4" t="inlineStr">
        <is>
          <t>C2</t>
        </is>
      </c>
      <c r="B61" s="5" t="inlineStr">
        <is>
          <t>数据迁移</t>
        </is>
      </c>
      <c r="C61" s="13" t="inlineStr">
        <is>
          <t>—</t>
        </is>
      </c>
      <c r="D61" s="14" t="inlineStr">
        <is>
          <t>迁移核对与差异处理</t>
        </is>
      </c>
      <c r="E61" s="6" t="inlineStr">
        <is>
          <t>迁移</t>
        </is>
      </c>
      <c r="F61" s="14" t="inlineStr">
        <is>
          <t>—</t>
        </is>
      </c>
      <c r="G61" s="16" t="inlineStr">
        <is>
          <t>各版</t>
        </is>
      </c>
      <c r="H61" s="82" t="n">
        <v>3</v>
      </c>
      <c r="I61" s="82">
        <f>H61*(1+汇总!$C$46)</f>
        <v/>
      </c>
      <c r="J61" s="83" t="n">
        <v>46310</v>
      </c>
      <c r="K61" s="10" t="n">
        <v>46360</v>
      </c>
      <c r="L61" s="10" t="inlineStr"/>
      <c r="M61" s="5" t="inlineStr">
        <is>
          <t>FP 码待补；租入体系起点，触发租入入库</t>
        </is>
      </c>
    </row>
    <row r="62" ht="39" customHeight="1">
      <c r="A62" s="4" t="inlineStr">
        <is>
          <t>C3</t>
        </is>
      </c>
      <c r="B62" s="5" t="inlineStr">
        <is>
          <t>上线部署</t>
        </is>
      </c>
      <c r="C62" s="6" t="inlineStr">
        <is>
          <t>—</t>
        </is>
      </c>
      <c r="D62" s="5" t="inlineStr">
        <is>
          <t>环境部署与发布</t>
        </is>
      </c>
      <c r="E62" s="6" t="inlineStr">
        <is>
          <t>部署</t>
        </is>
      </c>
      <c r="F62" s="5" t="inlineStr">
        <is>
          <t>—</t>
        </is>
      </c>
      <c r="G62" s="7" t="inlineStr">
        <is>
          <t>各版</t>
        </is>
      </c>
      <c r="H62" s="82" t="n">
        <v>3</v>
      </c>
      <c r="I62" s="82">
        <f>H62*(1+汇总!$C$46)</f>
        <v/>
      </c>
      <c r="J62" s="83" t="n">
        <v>46308</v>
      </c>
      <c r="K62" s="10" t="n">
        <v>46360</v>
      </c>
      <c r="L62" s="10" t="inlineStr">
        <is>
          <t>三版各发布一次</t>
        </is>
      </c>
      <c r="M62" s="5" t="inlineStr">
        <is>
          <t>覆盖 F01 五条主线（B1 销售/采购双线、L1~L4）+ S1~S7 支线 + 应收/应付财务通道；每版上线前各跑一轮</t>
        </is>
      </c>
    </row>
    <row r="63">
      <c r="A63" s="4" t="inlineStr">
        <is>
          <t>C3</t>
        </is>
      </c>
      <c r="B63" s="5" t="inlineStr">
        <is>
          <t>上线部署</t>
        </is>
      </c>
      <c r="C63" s="6" t="inlineStr">
        <is>
          <t>—</t>
        </is>
      </c>
      <c r="D63" s="5" t="inlineStr">
        <is>
          <t>上线切换与并行期支持</t>
        </is>
      </c>
      <c r="E63" s="6" t="inlineStr">
        <is>
          <t>部署</t>
        </is>
      </c>
      <c r="F63" s="5" t="inlineStr">
        <is>
          <t>—</t>
        </is>
      </c>
      <c r="G63" s="7" t="inlineStr">
        <is>
          <t>各版</t>
        </is>
      </c>
      <c r="H63" s="82" t="n">
        <v>5</v>
      </c>
      <c r="I63" s="82">
        <f>H63*(1+汇总!$C$46)</f>
        <v/>
      </c>
      <c r="J63" s="83" t="n">
        <v>46310</v>
      </c>
      <c r="K63" s="10" t="n">
        <v>46363</v>
      </c>
      <c r="L63" s="10" t="inlineStr"/>
      <c r="M63" s="5" t="n"/>
    </row>
    <row r="64" ht="26" customHeight="1">
      <c r="A64" s="4" t="inlineStr">
        <is>
          <t>C3</t>
        </is>
      </c>
      <c r="B64" s="5" t="inlineStr">
        <is>
          <t>上线部署</t>
        </is>
      </c>
      <c r="C64" s="6" t="inlineStr">
        <is>
          <t>—</t>
        </is>
      </c>
      <c r="D64" s="5" t="inlineStr">
        <is>
          <t>线上试运行与并行验证</t>
        </is>
      </c>
      <c r="E64" s="6" t="inlineStr">
        <is>
          <t>测试</t>
        </is>
      </c>
      <c r="F64" s="5" t="inlineStr">
        <is>
          <t>—</t>
        </is>
      </c>
      <c r="G64" s="7" t="inlineStr">
        <is>
          <t>各版</t>
        </is>
      </c>
      <c r="H64" s="82" t="n">
        <v>7</v>
      </c>
      <c r="I64" s="82">
        <f>H64*(1+汇总!$C$46)</f>
        <v/>
      </c>
      <c r="J64" s="83" t="n">
        <v>46311</v>
      </c>
      <c r="K64" s="10" t="n">
        <v>46374</v>
      </c>
      <c r="L64" s="10" t="inlineStr">
        <is>
          <t>每版预留试运行窗口</t>
        </is>
      </c>
      <c r="M64" s="5" t="inlineStr">
        <is>
          <t>依赖 #4 主数据清单；V1.0 前导客商/器具/零部件，V1.1 前导 BOM 与在租</t>
        </is>
      </c>
    </row>
    <row r="65" ht="26" customHeight="1">
      <c r="A65" s="4" t="n"/>
      <c r="B65" s="5" t="n"/>
      <c r="C65" s="6" t="n"/>
      <c r="D65" s="5" t="n"/>
      <c r="E65" s="6" t="n"/>
      <c r="F65" s="5" t="n"/>
      <c r="G65" s="7" t="n"/>
      <c r="H65" s="82" t="n"/>
      <c r="I65" s="82">
        <f>H65*(1+汇总!$C$46)</f>
        <v/>
      </c>
      <c r="J65" s="9" t="n"/>
      <c r="K65" s="10" t="n"/>
      <c r="L65" s="10" t="n"/>
      <c r="M65" s="5" t="n"/>
    </row>
    <row r="66">
      <c r="A66" s="4" t="n"/>
      <c r="B66" s="5" t="n"/>
      <c r="C66" s="6" t="n"/>
      <c r="D66" s="5" t="n"/>
      <c r="E66" s="6" t="n"/>
      <c r="F66" s="5" t="n"/>
      <c r="G66" s="7" t="n"/>
      <c r="H66" s="82" t="n"/>
      <c r="I66" s="82" t="n"/>
      <c r="J66" s="9" t="n"/>
      <c r="K66" s="10" t="n"/>
      <c r="L66" s="10" t="n"/>
      <c r="M66" s="5" t="n"/>
    </row>
    <row r="67" ht="26" customHeight="1">
      <c r="A67" s="4" t="n"/>
      <c r="B67" s="5" t="n"/>
      <c r="C67" s="6" t="n"/>
      <c r="D67" s="5" t="n"/>
      <c r="E67" s="6" t="n"/>
      <c r="F67" s="5" t="n"/>
      <c r="G67" s="7" t="n"/>
      <c r="H67" s="82" t="n"/>
      <c r="I67" s="82" t="n"/>
      <c r="J67" s="9" t="n"/>
      <c r="K67" s="10" t="n"/>
      <c r="L67" s="10" t="n"/>
      <c r="M67" s="5" t="n"/>
    </row>
    <row r="68">
      <c r="A68" s="4" t="n"/>
      <c r="B68" s="5" t="n"/>
      <c r="C68" s="6" t="n"/>
      <c r="D68" s="5" t="n"/>
      <c r="E68" s="6" t="n"/>
      <c r="F68" s="5" t="n"/>
      <c r="G68" s="7" t="n"/>
      <c r="H68" s="82" t="n"/>
      <c r="I68" s="82" t="n"/>
      <c r="J68" s="9" t="n"/>
      <c r="K68" s="10" t="n"/>
      <c r="L68" s="10" t="n"/>
      <c r="M68" s="5" t="n"/>
    </row>
    <row r="69" ht="26" customHeight="1">
      <c r="A69" s="4" t="n"/>
      <c r="B69" s="5" t="n"/>
      <c r="C69" s="6" t="n"/>
      <c r="D69" s="5" t="n"/>
      <c r="E69" s="6" t="n"/>
      <c r="F69" s="5" t="n"/>
      <c r="G69" s="7" t="n"/>
      <c r="H69" s="82" t="n"/>
      <c r="I69" s="82" t="n"/>
      <c r="J69" s="9" t="n"/>
      <c r="K69" s="10" t="n"/>
      <c r="L69" s="10" t="n"/>
      <c r="M69" s="5" t="n"/>
    </row>
    <row r="70" ht="15.5" customHeight="1">
      <c r="A70" s="17" t="n"/>
      <c r="B70" s="17" t="n"/>
      <c r="C70" s="17" t="n"/>
      <c r="D70" s="18" t="inlineStr">
        <is>
          <t>合计（人日）</t>
        </is>
      </c>
      <c r="E70" s="17" t="n"/>
      <c r="F70" s="17" t="n"/>
      <c r="G70" s="17" t="n"/>
      <c r="H70" s="19">
        <f>SUM(H4:H64)</f>
        <v/>
      </c>
      <c r="I70" s="19">
        <f>SUM(I4:I64)</f>
        <v/>
      </c>
      <c r="J70" s="17" t="n"/>
      <c r="K70" s="17" t="n"/>
      <c r="L70" s="17" t="n"/>
      <c r="M70" s="17" t="n"/>
    </row>
    <row r="72" ht="14.5" customHeight="1">
      <c r="A72" s="20" t="inlineStr">
        <is>
          <t>颜色图例</t>
        </is>
      </c>
    </row>
    <row r="73">
      <c r="A73" s="21" t="n"/>
      <c r="B73" s="22" t="inlineStr">
        <is>
          <t>表头（白字）</t>
        </is>
      </c>
    </row>
    <row r="74">
      <c r="A74" s="23" t="n"/>
      <c r="B74" s="22" t="inlineStr">
        <is>
          <t>WBS 编号列</t>
        </is>
      </c>
    </row>
    <row r="75">
      <c r="A75" s="24" t="n"/>
      <c r="B75" s="22" t="inlineStr">
        <is>
          <t>版本 = V1.0 买卖版</t>
        </is>
      </c>
    </row>
    <row r="76">
      <c r="A76" s="25" t="n"/>
      <c r="B76" s="22" t="inlineStr">
        <is>
          <t>版本 = V1.1 租赁版</t>
        </is>
      </c>
    </row>
    <row r="77">
      <c r="A77" s="26" t="n"/>
      <c r="B77" s="22" t="inlineStr">
        <is>
          <t>版本 = V2.0 深化版</t>
        </is>
      </c>
    </row>
    <row r="78">
      <c r="A78" s="27" t="n"/>
      <c r="B78" s="22" t="inlineStr">
        <is>
          <t>前置/各版 + 公式自动计算（勿手改）</t>
        </is>
      </c>
    </row>
    <row r="79">
      <c r="A79" s="28" t="n"/>
      <c r="B79" s="22" t="inlineStr">
        <is>
          <t>FP 码待补行（§5.1 未编）</t>
        </is>
      </c>
    </row>
    <row r="80">
      <c r="A80" s="29" t="n"/>
      <c r="B80" s="22" t="inlineStr">
        <is>
          <t>风险条目（按月表 R1~R5）</t>
        </is>
      </c>
    </row>
    <row r="81">
      <c r="A81" s="30" t="n"/>
      <c r="B81" s="22" t="inlineStr">
        <is>
          <t>待填（现仅汇总表缓冲/人数 2 格）</t>
        </is>
      </c>
    </row>
  </sheetData>
  <autoFilter ref="A3:M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2026-09-05T11:38:00Z</dcterms:created>
  <dcterms:modified xmlns:dcterms="http://purl.org/dc/terms/" xmlns:xsi="http://www.w3.org/2001/XMLSchema-instance" xsi:type="dcterms:W3CDTF">2026-09-14T07:20:39Z</dcterms:modified>
  <cp:lastModifiedBy>yellow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C0D38E0338EA427A8420CA1CA695A8D2_13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