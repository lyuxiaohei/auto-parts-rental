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工作台-吕道远\5-【ACTIVE】汽车物流包装租赁\"/>
    </mc:Choice>
  </mc:AlternateContent>
  <bookViews>
    <workbookView windowWidth="24750" windowHeight="12080"/>
  </bookViews>
  <sheets>
    <sheet name="版本交付阶梯图" sheetId="1" r:id="rId1"/>
    <sheet name="汇总" sheetId="2" r:id="rId2"/>
    <sheet name="甘特图-功能点级" sheetId="3" r:id="rId3"/>
    <sheet name="甘特图-任务级" sheetId="4" r:id="rId4"/>
    <sheet name="功能点评估（全栈）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<sst xmlns="http://schemas.openxmlformats.org/spreadsheetml/2006/main" count="1080" uniqueCount="406">
  <si>
    <t>汇总与折算（公式驱动，唯一维护处）</t>
  </si>
  <si>
    <t>WBS</t>
  </si>
  <si>
    <t>模块/阶段</t>
  </si>
  <si>
    <t>人日小计</t>
  </si>
  <si>
    <t>开始日期</t>
  </si>
  <si>
    <t>结束日期</t>
  </si>
  <si>
    <t>关键风险/依赖</t>
  </si>
  <si>
    <t>A1</t>
  </si>
  <si>
    <t>需求调研与PRD</t>
  </si>
  <si>
    <t>#2 #3 材料未齐即启动，PRD 有返工风险</t>
  </si>
  <si>
    <t>A2</t>
  </si>
  <si>
    <t>原型设计</t>
  </si>
  <si>
    <t>v2.8 已交付，仅评修订量</t>
  </si>
  <si>
    <t>B0</t>
  </si>
  <si>
    <t>公共底座与移动端</t>
  </si>
  <si>
    <t>B1</t>
  </si>
  <si>
    <t>基础数据</t>
  </si>
  <si>
    <t>B2</t>
  </si>
  <si>
    <t>项目管理中心</t>
  </si>
  <si>
    <t>B3</t>
  </si>
  <si>
    <t>仓储作业 ★核心</t>
  </si>
  <si>
    <t>11 类单据；无组装/拆卸（BOM 结果导向·出库按组合扣减/退租按零件入库）</t>
  </si>
  <si>
    <t>B4</t>
  </si>
  <si>
    <t>租赁管理</t>
  </si>
  <si>
    <t>计费定案（09-15·D-145）：按时间周期直录日租金／按次次单价·按持有量计租·三段式仅档案参考价</t>
  </si>
  <si>
    <t>B5</t>
  </si>
  <si>
    <t>销售管理</t>
  </si>
  <si>
    <t>#6 路凯对接方式待定</t>
  </si>
  <si>
    <t>B6</t>
  </si>
  <si>
    <t>财务协同</t>
  </si>
  <si>
    <t>#5 单据/水单样例、#8 开票主体待提供</t>
  </si>
  <si>
    <t>B7</t>
  </si>
  <si>
    <t>系统管理</t>
  </si>
  <si>
    <t>B8</t>
  </si>
  <si>
    <t>采购管理</t>
  </si>
  <si>
    <t>第 2 次会新增模块（09-04 拍板第一期闭环）</t>
  </si>
  <si>
    <t>C1</t>
  </si>
  <si>
    <t>测试</t>
  </si>
  <si>
    <t>用例需覆盖 F01 五条主线全链路</t>
  </si>
  <si>
    <t>C2</t>
  </si>
  <si>
    <t>数据迁移</t>
  </si>
  <si>
    <t>#4 主数据清单与格式待提供</t>
  </si>
  <si>
    <t>C3</t>
  </si>
  <si>
    <t>上线部署</t>
  </si>
  <si>
    <t>试运行窗口待与客户确认</t>
  </si>
  <si>
    <t>合计 / 全跨度</t>
  </si>
  <si>
    <t>版本里程碑（人日 × 上线节点 × 范围，合并原「版本小计 + 里程碑一览」）</t>
  </si>
  <si>
    <t>版本</t>
  </si>
  <si>
    <t>上线 / 完成节点</t>
  </si>
  <si>
    <t>范围与业务</t>
  </si>
  <si>
    <t>含缓冲</t>
  </si>
  <si>
    <t>无AI对照
（方案1·约219人日）</t>
  </si>
  <si>
    <t>前置</t>
  </si>
  <si>
    <t>09-02 ~ 09-18 定版</t>
  </si>
  <si>
    <t>需求 09-02 起（第 2~4 次沟通＋09-15 拍板包）+ 计费定案（按天计租）+ PRD 冻结 + 芋道底座/编码规范</t>
  </si>
  <si>
    <t>无AI 09-23</t>
  </si>
  <si>
    <t>V1.0</t>
  </si>
  <si>
    <t>★ 10-20 上线（09-15 增补·初估）</t>
  </si>
  <si>
    <t>买卖版：买卖全链 + 库存（查询五态/调拨/其他出入库）+ 应收六来源/回款 + 权限矩阵；+库存事件流水/采购退货/销售退货（09-15 增·人日待评估）</t>
  </si>
  <si>
    <t>无AI 11-03</t>
  </si>
  <si>
    <t>V1.1</t>
  </si>
  <si>
    <t>★ 11-24 上线（初估）</t>
  </si>
  <si>
    <t>租赁版：租赁循环（租赁单/租赁出库/退租入库两事件）+ BOM + 按天计租（直录日租金） + 应付/付款 + 移动端 H5；+转移出库/按持有量计租/退款登记（09-15 增·人日待评估）</t>
  </si>
  <si>
    <t>无AI 12-17</t>
  </si>
  <si>
    <t>V2.0</t>
  </si>
  <si>
    <t>★ 12-14 上线（初估）</t>
  </si>
  <si>
    <t>深化版：租入三单（L3/L4）+ 路凯对接 + 财务收口（开票/银行回单核销/财务看板）+ 数据字典</t>
  </si>
  <si>
    <t>无AI 01-22</t>
  </si>
  <si>
    <t>验收收口</t>
  </si>
  <si>
    <t>01-08 前后（初估）</t>
  </si>
  <si>
    <t>试运行 2 周（真实订单并行）+ 01-08 前验收；富余产能启动 2027 backlog</t>
  </si>
  <si>
    <t>无AI 2027-02-05</t>
  </si>
  <si>
    <t>各版</t>
  </si>
  <si>
    <t>10-13 / 11-16 / 12-08 启动（初估）</t>
  </si>
  <si>
    <t>测试 / UAT / 数据迁移 / 部署 / 切换 / 试运行——每版上线前各跑一轮（单轮 15 人日×3）</t>
  </si>
  <si>
    <t>—</t>
  </si>
  <si>
    <t>版本人日合计（校验=总合计 C18）</t>
  </si>
  <si>
    <t>按月负载（原「按月版本规划」主体并入）</t>
  </si>
  <si>
    <t>月份</t>
  </si>
  <si>
    <t>计划人日
（含缓冲）</t>
  </si>
  <si>
    <t>当月产能
（人日）</t>
  </si>
  <si>
    <t>负载率</t>
  </si>
  <si>
    <t>当月里程碑与内容摘要</t>
  </si>
  <si>
    <t>2026-09</t>
  </si>
  <si>
    <t>需求 09-18 冻结；底座+V1.0 全量开发（09-15 起）＋采购/销售退货单与库存事件流水并入</t>
  </si>
  <si>
    <t>2026-10</t>
  </si>
  <si>
    <t>10-13~20 轮1：集成测试/UAT/主数据迁移/部署；★10-20 V1.0 上线（09-15 增补口径·初估）</t>
  </si>
  <si>
    <t>2026-11</t>
  </si>
  <si>
    <t>V1.1 开发完成（含移动端 H5＋转移出库＋按天计租引擎＋退款登记）；11-16~23 轮2；★11-24 V1.1 上线</t>
  </si>
  <si>
    <t>2026-12</t>
  </si>
  <si>
    <t>12-08~11 轮3（租入在途迁移/部署）；★12-14 V2.0 全量上线（128+ 页口径）；01-08 前验收</t>
  </si>
  <si>
    <t>合计</t>
  </si>
  <si>
    <t>AI 协作（Claude Code）前提与风险</t>
  </si>
  <si>
    <t>R1 评审带宽</t>
  </si>
  <si>
    <t>AI 产出量大，3 名工程师须固定每日代码评审时段消化</t>
  </si>
  <si>
    <t>R2 风格统一</t>
  </si>
  <si>
    <t>底座周（09-09~10）必须落编码规范与组件约定，统一三套 AI 风格</t>
  </si>
  <si>
    <t>R3 关键逻辑</t>
  </si>
  <si>
    <t>库存过账/组装拆卸/四态计费/水单核销以人工设计主导，勿盲信 AI 产出</t>
  </si>
  <si>
    <t>R4 磨合回退</t>
  </si>
  <si>
    <t>若 AI 协作磨合不顺（提速退化），工期按 约 219 人日口径上浮，里程碑顺延</t>
  </si>
  <si>
    <t>R5 外部依赖</t>
  </si>
  <si>
    <t>#6 路凯对接方式、#5 水单样例、#8 开票主体——未定项集中在 V2.0 前必须落实</t>
  </si>
  <si>
    <t>参数与折算</t>
  </si>
  <si>
    <t>缓冲比例</t>
  </si>
  <si>
    <t>已填 15%（覆盖联调与管理裕度）</t>
  </si>
  <si>
    <t>投入人数</t>
  </si>
  <si>
    <t>已填 3（对应 P1-R01 第八节 #9）</t>
  </si>
  <si>
    <t>每月工作日</t>
  </si>
  <si>
    <t>人月折算基准</t>
  </si>
  <si>
    <t>含缓冲合计（人日）</t>
  </si>
  <si>
    <t>自动：合计×(1+缓冲)</t>
  </si>
  <si>
    <t>日历工期（月）</t>
  </si>
  <si>
    <t>自动</t>
  </si>
  <si>
    <t>甘特图 · WBS × 版本（23 行概览·0915 增补）</t>
  </si>
  <si>
    <t>口径：横轴 78 个工作日（09-02~12-25·周末与国庆不排）；09-15 增补口径 153.75 人日·节点 10-20/11-24/12-14（初估·开发重估后刷新）</t>
  </si>
  <si>
    <t>模块 / 内容</t>
  </si>
  <si>
    <t>人日</t>
  </si>
  <si>
    <t>开始</t>
  </si>
  <si>
    <t>结束</t>
  </si>
  <si>
    <t>9月</t>
  </si>
  <si>
    <t>10月</t>
  </si>
  <si>
    <t>11月</t>
  </si>
  <si>
    <t>12月</t>
  </si>
  <si>
    <t>前置（09-02 ~ 09-18 · 需求+原型+底座）</t>
  </si>
  <si>
    <t>需求调研与 PRD（四轮走查+计费定案 09-15+评审冻结·09-18）</t>
  </si>
  <si>
    <t>原型改造与定稿（G31~G39·128+ HTML·09-18 定稿）</t>
  </si>
  <si>
    <t>公共底座（脚手架/登录页+登录态/通用组件）</t>
  </si>
  <si>
    <t>V1.0 买卖版 ★ 10-20 上线</t>
  </si>
  <si>
    <t>基础数据（项目/客商/产品档案[两档合并]/库位）</t>
  </si>
  <si>
    <t>项目域（编码规则 + 上下游 M:N 绑定）</t>
  </si>
  <si>
    <t>仓储 V1.0（采购入库/库存查询五态/销售出库/其他出入库/调拨/库存事件流水）</t>
  </si>
  <si>
    <t>销售订单（代下单+审核+附件/关闭+销售退货单）</t>
  </si>
  <si>
    <t>财务（应收六来源含按天期段化 + 回款）</t>
  </si>
  <si>
    <t>系统权限（6 角色·矩阵 19 类）</t>
  </si>
  <si>
    <t>采购域（订单/审核/入库发起/买卖线/采购退货单）+ 站内信</t>
  </si>
  <si>
    <t>V1.1 租赁版（含移动端 H5）★ 11-24 上线</t>
  </si>
  <si>
    <t>BOM 维护（版本 + 配比校验·结果导向）</t>
  </si>
  <si>
    <t>看板 / 详情 / 我的待办（19 类）</t>
  </si>
  <si>
    <t>仓储租赁循环（租赁出库/退租入库两事件/盘点）</t>
  </si>
  <si>
    <t>计费（直录日租金）+ 租赁单 + 转移出库 + 持有量计租引擎</t>
  </si>
  <si>
    <t>应付五来源（租入对称按天计租）+ 付款登记 + 退款登记</t>
  </si>
  <si>
    <t>移动端 H5 五页（企微·审批 P0）</t>
  </si>
  <si>
    <t>V2.0 深化版 ★ 12-14 上线</t>
  </si>
  <si>
    <t>租入三单（租入单/租入入库/租入归还）</t>
  </si>
  <si>
    <t>路凯订单同步 + 结算导出</t>
  </si>
  <si>
    <t>财务收口（开票/银行回单核销/财务看板）</t>
  </si>
  <si>
    <t>操作日志 + 数据字典（28 组 141 项·物料类型 10 值）</t>
  </si>
  <si>
    <t>各版支撑（测试 / 迁移 / 上线 · 每版一轮）</t>
  </si>
  <si>
    <t>集成测试 / UAT（F01 七泳道·轮 10-13/11-16/12-08）</t>
  </si>
  <si>
    <t>数据迁移（主数据/期初五态导库/核对）</t>
  </si>
  <si>
    <t>部署 / 切换 / 试运行</t>
  </si>
  <si>
    <t>甘特图 · 任务级（68 行全量·0915 增补）</t>
  </si>
  <si>
    <t>功能点</t>
  </si>
  <si>
    <t>任务</t>
  </si>
  <si>
    <t>原型走查与字段确认（四轮评审至第 3 次沟通·115 页口径）</t>
  </si>
  <si>
    <t>计费规则与单据流程确认（三段式计费 09-11 拍板定版）</t>
  </si>
  <si>
    <t>PRD 编写（P2-R01 V1.0·10 模块 UC89/AC55）</t>
  </si>
  <si>
    <t>PRD 评审与范围冻结</t>
  </si>
  <si>
    <t>原型按评审反馈修订</t>
  </si>
  <si>
    <t>原型评审确认与定稿</t>
  </si>
  <si>
    <t>工程脚手架与 CI/CD</t>
  </si>
  <si>
    <t>登录页+默认登录态+框架权限（企微扫码·退出键域）</t>
  </si>
  <si>
    <t>通用组件（单据/列表/导入导出/弹窗/四段式详情双列）</t>
  </si>
  <si>
    <t>V1.0 买卖版 ★ 10-20 上线（09-15 增补·初估）</t>
  </si>
  <si>
    <t>站内信（顶栏通知铃铛·四类消息·已读键域）</t>
  </si>
  <si>
    <t>FP1-01</t>
  </si>
  <si>
    <t>项目档案：页面 + 表结构与接口</t>
  </si>
  <si>
    <t>FP1-02</t>
  </si>
  <si>
    <t>客商管理：客户/供应商/客商兼供应商（含开票资料）</t>
  </si>
  <si>
    <t>FP1-03</t>
  </si>
  <si>
    <t>产品档案：物料类型×分类两级+四参考价+供应商税率+三段式租价（器具/零部件两档案已合并）</t>
  </si>
  <si>
    <t>FP1-06</t>
  </si>
  <si>
    <t>库位档案：仓/区/位三级 + XNC 客户虚拟仓</t>
  </si>
  <si>
    <t>FP2-01</t>
  </si>
  <si>
    <t>项目编码规则：规则引擎 + 配置</t>
  </si>
  <si>
    <t>FP2-02</t>
  </si>
  <si>
    <t>上下游绑定：多对多关系维护</t>
  </si>
  <si>
    <t>FP3-01</t>
  </si>
  <si>
    <t>采购入库单（执行）：录单 + 入库过账与库存更新</t>
  </si>
  <si>
    <t>FP3-06</t>
  </si>
  <si>
    <t>库存查询：五态 + 组合视图 + 客户在租下钻 + 资产轨迹 + 租入态筛选</t>
  </si>
  <si>
    <t>（待补）</t>
  </si>
  <si>
    <t>销售出库单：录单 + 出库过账（买卖线）</t>
  </si>
  <si>
    <t>其他入库单：盘盈/退货/其他（期初走数据迁移导库·无期初入口）</t>
  </si>
  <si>
    <t>其他出库单：报废/盘亏/赔偿核销/其他</t>
  </si>
  <si>
    <t>库存调拨单：库间调拨 + 过账</t>
  </si>
  <si>
    <t>库存事件流水与每日在租量（按天计租数据基座·出库/退租/归还/调拨）</t>
  </si>
  <si>
    <t>FP5-01</t>
  </si>
  <si>
    <t>销售订单（代下单）：统一订单列表+附件上传+关闭/提前终止</t>
  </si>
  <si>
    <t>FP5-02</t>
  </si>
  <si>
    <t>订单审核：工作台 + 审核流转</t>
  </si>
  <si>
    <t>销售退货单：收货拒收/入库后退货·可退上限·关联销售出库</t>
  </si>
  <si>
    <t>FP6-01</t>
  </si>
  <si>
    <t>应收账单：六来源（租赁费/销售费/丢损赔偿/供应商应收/押金/预收）自动汇总+手填</t>
  </si>
  <si>
    <t>FP6-03</t>
  </si>
  <si>
    <t>回款登记：到账录入 + 关联</t>
  </si>
  <si>
    <t>FP7-01</t>
  </si>
  <si>
    <t>组织与权限：7 角色+可审单据矩阵 16 类+数据权限三档（我方账号·客户/供应商账号本版不做）</t>
  </si>
  <si>
    <t>FP8-01</t>
  </si>
  <si>
    <t>采购订单：新建 + 列表（独立采购线·不以销定采）</t>
  </si>
  <si>
    <t>FP8-02</t>
  </si>
  <si>
    <t>采购订单审核：状态流</t>
  </si>
  <si>
    <t>FP8-04</t>
  </si>
  <si>
    <t>销售订单（买卖线）：客户购买订单</t>
  </si>
  <si>
    <t>采购退货单：收货拒收/入库后退货·可退上限·关联采购入库</t>
  </si>
  <si>
    <t>V1.1 租赁版（含移动端 H5）★ 11-24 上线（初估）</t>
  </si>
  <si>
    <t>移动端 H5 五页（登录/待办审批/审批详情/库存查询/我的·企微）</t>
  </si>
  <si>
    <t>企微/飞书组织架构同步（部门/人员/账号映射·D-120）</t>
  </si>
  <si>
    <t>FP1-05</t>
  </si>
  <si>
    <t>子母件 BOM：维护页 + 版本管理与配比校验</t>
  </si>
  <si>
    <t>FP2-03</t>
  </si>
  <si>
    <t>项目看板：图表页 + 统计接口</t>
  </si>
  <si>
    <t>FP2-04</t>
  </si>
  <si>
    <t>明细查看：从汇总数据进入单据明细</t>
  </si>
  <si>
    <t>我的待办：16 类待办聚合入口</t>
  </si>
  <si>
    <t>FP3-03</t>
  </si>
  <si>
    <t>租赁出库单：录单 + 审核 + 退回对比</t>
  </si>
  <si>
    <t>FP3-04</t>
  </si>
  <si>
    <t>退租入库单：客户退租统一入口·按零件入库·完好分流（自有回库/租入归还）</t>
  </si>
  <si>
    <t>FP3-05</t>
  </si>
  <si>
    <t>盘点单：零件/组合双口径 + 盘盈亏过账</t>
  </si>
  <si>
    <t>FP4-03</t>
  </si>
  <si>
    <t>计费与租价管理：三段式计费（方式+周期+数值）·四参考价口径</t>
  </si>
  <si>
    <t>FP4-05</t>
  </si>
  <si>
    <t>租赁单：三段计费+优先查库存（不足双按钮生成采购订单/租入单）+退回进度+背靠背草稿</t>
  </si>
  <si>
    <t>转移出库单：列表+录单+详情+终止转移；结算方式两值·项目档案带出可覆盖</t>
  </si>
  <si>
    <t>按持有量计租引擎：Σ(每日在租量×日租金)·天数=max(2,止−起+1)</t>
  </si>
  <si>
    <t>FP6-06</t>
  </si>
  <si>
    <t>应付账单：五来源（采购/租金/赔付供应商/对客户/无订单预付）+押金退还+退款口径</t>
  </si>
  <si>
    <t>FP6-07</t>
  </si>
  <si>
    <t>付款登记：银行付款录入+分期计划，关联应付</t>
  </si>
  <si>
    <t>V2.0 深化版 ★ 12-14 上线（初估）</t>
  </si>
  <si>
    <t>租入入库单：凭租入单验收（L3/L4）</t>
  </si>
  <si>
    <t>租入归还单：关联租入单+同步明细+分批</t>
  </si>
  <si>
    <t>租入单：新建草稿三步+供应商税率带出+审核</t>
  </si>
  <si>
    <t>FP5-03</t>
  </si>
  <si>
    <t>订单同步（路凯）：同步通道 + 记录重发</t>
  </si>
  <si>
    <t>FP5-04</t>
  </si>
  <si>
    <t>结算数据导出：数据生成 + 传递</t>
  </si>
  <si>
    <t>FP6-02</t>
  </si>
  <si>
    <t>开票登记与发票上传：登记 + 应收关联</t>
  </si>
  <si>
    <t>FP6-04</t>
  </si>
  <si>
    <t>银行水单核销：导入勾对 + 部分核销 + 对账联调</t>
  </si>
  <si>
    <t>FP6-05</t>
  </si>
  <si>
    <t>财务看板（盈亏报表）：汇总计算 + 报表页</t>
  </si>
  <si>
    <t>FP7-02</t>
  </si>
  <si>
    <t>操作日志：埋点存储 + 查询页</t>
  </si>
  <si>
    <t>集成测试用例编写与执行（F01 v3.6 七泳道 B1/L1-L4/T1/T2 + 16 类待办）</t>
  </si>
  <si>
    <t>UAT 支持与缺陷修复</t>
  </si>
  <si>
    <t>主数据整理与导入模板</t>
  </si>
  <si>
    <t>期初库存与在租数据迁移（五态含租入·期初直接导库）</t>
  </si>
  <si>
    <t>迁移核对与差异处理</t>
  </si>
  <si>
    <t>环境部署与发布</t>
  </si>
  <si>
    <t>上线切换与并行期支持</t>
  </si>
  <si>
    <t>线上试运行与并行验证</t>
  </si>
  <si>
    <t>P1-R03 工期评估表 · 功能点级（全栈口径）</t>
  </si>
  <si>
    <t>口径：人日含概要设计+编码+自测；每功能点一行、不分前后端（类型=全栈）。2026-09-05 按方案二（买卖先行）标定「版本」列：V1.0 买卖版 21 页 / V1.1 租赁版 +16 页 / V2.0 深化版 +8 页，前置=调研+底座、各版=测试迁移上线每版重复投入。标（待补）的 10 行为原型已有但 §5.1 未编 FP 码的页面。人日/评估人/开始/结束全部留白，由道远与开发逐行填写；上一版估算归档于 99-归档/P1-R03-工期评估表-20260905.xlsx。｜2026-09-06 更新：按 3 名全栈开发、2026-09-07~09-10 芋道（yudao）JDK21 底座搭建、09-10 起业务开发、原型基本确定（前置压缩）口径填入人日初评；「各版」行 H=单轮人日×3 版；评估人/起止列留白待道远与开发复核微调。｜2026-09-06 二次调整：为赶 V1.0 于 2026-10-30 上线，盘点单（FP3-05）/项目看板（FP2-03）/项目详情（FP2-04）共 8.5 人日移至 V1.1——V1.0 缩为 17 页、V1.1 扩为 +20 页，总人日不变。｜2026-09-06 方案 2.0：3 名全栈全部借助 Claude Code vibe coding，按净提速口径重估——列表/弹窗/文档类×0.6、录单+过账×0.7、复杂业务逻辑（库存过账/组装拆卸/计费/核销/路凯对接）×0.75~0.85（人工设计主导）、调研评审不提速；整体 212→149 人日（-29.6%），15% 缓冲与版本范围不变。｜I 列「含缓冲人日」=H×(1+汇总!C30) 自动计算，与「按月版本规划」口径统一（171.35），汇报用 I 列。｜2026-09-15 增补：需求期 09-02~09-18；新增功能点 6 行（转移出库/库存事件流水/按持有量计租/采购退货/销售退货/退款登记·G33/G37/G39）＋既有行口径刷新；新行人日按 0906 口径产品侧初估（+12.5 人日·开发重估后滚动刷新）</t>
  </si>
  <si>
    <t>类型</t>
  </si>
  <si>
    <t>对应原型页面</t>
  </si>
  <si>
    <t>含缓冲人日
（=人日×1.15）</t>
  </si>
  <si>
    <t>评估人</t>
  </si>
  <si>
    <t>开始时间</t>
  </si>
  <si>
    <t>结束时间</t>
  </si>
  <si>
    <t>备注（风险/依赖）</t>
  </si>
  <si>
    <t>原型走查与字段确认（四轮评审·第 2~4 次沟通 09-02~09-14）</t>
  </si>
  <si>
    <t>调研</t>
  </si>
  <si>
    <t>全量</t>
  </si>
  <si>
    <t>吕道远</t>
  </si>
  <si>
    <t>✅ 已完成（09-02 第 2 次沟通起·09-14 第 4 次沟通收口）；依赖 #2 #3：账号或全套截图；走查结论直接落到 PRD</t>
  </si>
  <si>
    <t>计费规则与单据流程确认（09-11 三段式→09-15 改定：按时间周期直录日租金/按次次单价·按持有量计租）</t>
  </si>
  <si>
    <t>✅ 已定案（09-15·D-145；「无日租金」口径由 G39 修订）；依赖 #1 #5：合同/报价单、单据样例</t>
  </si>
  <si>
    <t>文档</t>
  </si>
  <si>
    <t>✅ 已完成（09-12 定版·现 V1.1+附录 A 台账）</t>
  </si>
  <si>
    <t>⏳ 09-18（本周五）范围冻结（拍板台账滚动至 09-15·D-145 待归并）；客户确认后冻结范围，原型同步定稿</t>
  </si>
  <si>
    <t>原型</t>
  </si>
  <si>
    <t>涉及页视反馈</t>
  </si>
  <si>
    <t>G31~G39 改造包进行中（弹窗页面化/转移出库/字段口径/按天计租）·09-18 定稿；v2.8 已交付，仅评修订量</t>
  </si>
  <si>
    <t>全量 + F01</t>
  </si>
  <si>
    <t>⏳ 09-18（本周五）定稿收口（需求期 09-02~09-18·吕道远）；与 PRD 冻结同节点收口</t>
  </si>
  <si>
    <t>全栈</t>
  </si>
  <si>
    <t>徐蔚</t>
  </si>
  <si>
    <t>本表新增项，非 P1-R01 功能点，评估时确认保留</t>
  </si>
  <si>
    <t>登录.html+pc-auth</t>
  </si>
  <si>
    <t>原型已含登录页（G19b）·客户/供应商账号不做（D-89）；原型未含登录页，按通用方案实现</t>
  </si>
  <si>
    <t>全站 69 弹窗模板</t>
  </si>
  <si>
    <t>四段式详情双列化已定版（D-92·1080px）；复刻原型交互；79 个弹窗模板与四段式详情组件可直接参照</t>
  </si>
  <si>
    <t>38 业务页挂载</t>
  </si>
  <si>
    <t>账单到期/分期付款/押金应退/续租跟进（D-85）</t>
  </si>
  <si>
    <t>mobile/ 五页</t>
  </si>
  <si>
    <t>移动端审批=P0（D-86）；免二次登录</t>
  </si>
  <si>
    <t>企微/飞书组织架构同步：部门与人员同步＋账号映射（D-120 刚性需求·接口成熟）</t>
  </si>
  <si>
    <t>后台通道（无独立页）</t>
  </si>
  <si>
    <t>D-120（第4次沟通 1:06:39 王琳总·拍板需工期评估）；人日待开发评估</t>
  </si>
  <si>
    <t>项目档案</t>
  </si>
  <si>
    <t>客商管理</t>
  </si>
  <si>
    <t>产品档案：物料类型一级 10 值（WB/T 1058 行业口径·D-96/G38）+四参考价按物料类型通用+供应商税率+三段式仅参考价（D-145）</t>
  </si>
  <si>
    <t>产品档案（菜单名=物料档案）</t>
  </si>
  <si>
    <t>两档案合并+productTaxes 税率行编辑器（D-03/归属权已退场）；配比错误需拦截；BOM 仅租赁域使用，随租赁版上线</t>
  </si>
  <si>
    <t>BOM + BOM维护（2页）</t>
  </si>
  <si>
    <t>BOM 结果导向：出库按组合扣减，无组装过程；预留扫码接口（REQ-20）</t>
  </si>
  <si>
    <t>库位档案：仓库→库位两级（区层已删·G31）·客户虚拟仓不维护（D-006）</t>
  </si>
  <si>
    <t>库位档案</t>
  </si>
  <si>
    <t>预留扫码接口（REQ-20）</t>
  </si>
  <si>
    <t>项目档案（编码规则弹窗）</t>
  </si>
  <si>
    <t>项目档案（上下游绑定弹窗）</t>
  </si>
  <si>
    <t>M:N 多对多（G13 注记口径）；V1.0→V1.1（2026-09-06 赶 10 月上线范围调整）</t>
  </si>
  <si>
    <t>首页·项目看板</t>
  </si>
  <si>
    <t>V1.0→V1.1（2026-09-06 赶 10 月上线范围调整）</t>
  </si>
  <si>
    <t>项目详情</t>
  </si>
  <si>
    <t>FP 码待补（§5.1 未编）；聚合各模块待办，单据类型齐了才有意义，随租赁版</t>
  </si>
  <si>
    <t>我的待办：19 类待办聚合入口</t>
  </si>
  <si>
    <t>我的待办</t>
  </si>
  <si>
    <t>19 类=可审矩阵 19 项同值源（G33 扩）；审核人筛选；V1.0 无采购订单时先手工入库，V1.0 内衔接 FP8-03 凭单发起</t>
  </si>
  <si>
    <t>采购入库 列表+录单（2页）</t>
  </si>
  <si>
    <t>凭采购订单验收；入库计量以物料基本单位（托层删·G38）；BOM 结果导向·出库按组合扣减</t>
  </si>
  <si>
    <t>租赁出库 列表+录单（2页）</t>
  </si>
  <si>
    <t>原「组合出库」G22 统一称呼；出库确认→审核；含出货单打印页（D-144·打印模板+取数）</t>
  </si>
  <si>
    <t>退租入库列表+新建弹窗</t>
  </si>
  <si>
    <t>退租两事件模型（D-72）；退租申请模块已删；由退租申请（B4）触发；退租入库加拆散去向（v2.8）</t>
  </si>
  <si>
    <t>盘点 列表+录入（2页）</t>
  </si>
  <si>
    <t>库存查询</t>
  </si>
  <si>
    <t>在租台账已并入（G07）；租入态 D-80</t>
  </si>
  <si>
    <t>销售出库列表</t>
  </si>
  <si>
    <t>FP 码待补；买卖线核心出库单</t>
  </si>
  <si>
    <t>其他入库列表</t>
  </si>
  <si>
    <t>期初不做（D-77）；FP 码待补</t>
  </si>
  <si>
    <t>其他出库列表</t>
  </si>
  <si>
    <t>FP 码待补</t>
  </si>
  <si>
    <t>库存调拨列表</t>
  </si>
  <si>
    <t>租入入库列表</t>
  </si>
  <si>
    <t>FP 码待补；组装逆向，应对日计划变更</t>
  </si>
  <si>
    <t>租入归还列表+新建</t>
  </si>
  <si>
    <t>独立归还事件（D-72）；FP 码待补；租入体系独立单据（09-04 拍板）</t>
  </si>
  <si>
    <t>库存事件流水与每日在租量：出库/退租/归还/调拨事件＋任意区间每日余额复算（按天计租数据基座）</t>
  </si>
  <si>
    <t>库存查询（事件派生）＋各单据明细</t>
  </si>
  <si>
    <t>G39·D-145；不勾稽（D-106·退租入库不关联租赁单）；人日待开发重估</t>
  </si>
  <si>
    <t>计费与租价管理：单据侧直录日租金（按时间周期）/次单价（按次）·三段式仅档案参考价·计费方式随料带出（含组合件补字段）</t>
  </si>
  <si>
    <t>产品档案租价区+单据计费</t>
  </si>
  <si>
    <t>计费定案 09-15（D-145）：按持有量×天数计租；G20「无日租金」口径由 G39 修订；FP 码待补</t>
  </si>
  <si>
    <t>租赁单列表+新建弹窗</t>
  </si>
  <si>
    <t>租出台账已并入（退回进度列·G07）；库存不足双按钮=P0（D-86）；资产来源标记（v2.8）</t>
  </si>
  <si>
    <t>租入单列表</t>
  </si>
  <si>
    <t>自 B8 移入（菜单归租赁管理租入组）</t>
  </si>
  <si>
    <t>按持有量计租引擎：Σ(每日在租量×日租金)·天数=max(2,止−起+1)·单价相同合并总量·不勾稽原单</t>
  </si>
  <si>
    <t>应收/应付账单明细（期段行）</t>
  </si>
  <si>
    <t>G39·D-145；三段式仅档案参考价；人日待开发重估</t>
  </si>
  <si>
    <t>转移出库单：列表+录单+详情+终止转移；结算方式两值（按租出/按终端·项目档案带出可覆盖）；库存状态「客户转租出」由审核驱动</t>
  </si>
  <si>
    <t>转移出库列表+新建/详情弹窗</t>
  </si>
  <si>
    <t>G37·D-106+D-132+D-137（转租登记退场·D-78 被替代）；人日待开发重估</t>
  </si>
  <si>
    <t>销售订单列表</t>
  </si>
  <si>
    <t>项目经理代下单（客户 PO）；订单关闭+提前终止（09-14 拍板）；#1 计费规则未确认；租金自动计费（US-14）暂不在基线</t>
  </si>
  <si>
    <t>销售订单审核弹窗</t>
  </si>
  <si>
    <t>按对象转单据：客户→应收 / 运营方·供应商→应付（道远 09-04 拍板）</t>
  </si>
  <si>
    <t>#6 对接方式待定，按导出/接口两档；替代原「客户下单」，关联项目与客户</t>
  </si>
  <si>
    <t>后台逻辑 + 导出入口</t>
  </si>
  <si>
    <t>#6 结算格式待路凯方提供；对账通用化（D-87）；FP 码待补；L4 退租申请节点（v2.8）</t>
  </si>
  <si>
    <t>销售退货单列表+新建弹窗</t>
  </si>
  <si>
    <t>G33·D-123（方案 B）→应收退款（对客户）；人日待开发重估</t>
  </si>
  <si>
    <t>应收账单：六来源（租赁费/销售费/丢损赔偿/供应商应收/押金/预收）自动汇总+手填＋按持有量×天数期段化（起租/止租/天数/日单价/小计·G39）</t>
  </si>
  <si>
    <t>应收账单</t>
  </si>
  <si>
    <t>押金入应收（D-82）；供应商应收手填建单；REQ-07：客户发 PO、不再分客户端；V1.0 先跑买卖线订单</t>
  </si>
  <si>
    <t>开票登记</t>
  </si>
  <si>
    <t>#8 开票主体信息</t>
  </si>
  <si>
    <t>回款登记</t>
  </si>
  <si>
    <t>#6 对接方式待定，评估按导出/接口两档</t>
  </si>
  <si>
    <t>银行回单核销（原水单·D-142 更名）：导入勾对 + 部分核销 + 对账联调</t>
  </si>
  <si>
    <t>银行回单核销（D-142 更名）</t>
  </si>
  <si>
    <t>#5 银行回单（原水单）样例；#6 结算格式待路凯方提供</t>
  </si>
  <si>
    <t>盈亏报表（菜单名=财务看板）</t>
  </si>
  <si>
    <t>应收应付数据齐后才准</t>
  </si>
  <si>
    <t>应付账单</t>
  </si>
  <si>
    <t>押金退还（D-82）；预付退款同口径（D-83）；租入侧对称按天计租（G39）·退款登记独立页（G33）；依赖 #8 开票主体信息</t>
  </si>
  <si>
    <t>付款登记</t>
  </si>
  <si>
    <t>分期比例⇄金额互算</t>
  </si>
  <si>
    <t>退款登记（一页双向）：应付退款（对供应商）/应收退款（对客户）·关联退货单</t>
  </si>
  <si>
    <t>退款登记</t>
  </si>
  <si>
    <t>G33·D-123；TKD- 前缀；人日待开发重估</t>
  </si>
  <si>
    <t>组织与权限：6 角色（系统管理员/财务/商务/物流/采购/项目经理·D-143）+可审单据矩阵 19 类（G33 扩）+数据权限三档（客户/供应商账号本版不做）</t>
  </si>
  <si>
    <t>用户权限+角色管理</t>
  </si>
  <si>
    <t>roles 7→6（D-143·D-89 沿革）；矩阵 16→19 类（G33）；现状缺失环节；依赖 #5 水单样例</t>
  </si>
  <si>
    <t>操作日志</t>
  </si>
  <si>
    <t>须应收应付数据齐后才准</t>
  </si>
  <si>
    <t>FP7-03</t>
  </si>
  <si>
    <t>数据字典：28 组 141 项业务字典配置（枚举值域统一管理·物料类型 10 值行业口径 WB/T 1058）</t>
  </si>
  <si>
    <t>数据字典</t>
  </si>
  <si>
    <t>G30 13 组→G34 后 28 组 141 项；G38 物料类型 6→10 值；REQ-21；V1.1 简化版，完整核销流 V2.0</t>
  </si>
  <si>
    <t>采购订单列表</t>
  </si>
  <si>
    <t>REQ-21</t>
  </si>
  <si>
    <t>采购订单审核弹窗</t>
  </si>
  <si>
    <t>FP8-03</t>
  </si>
  <si>
    <t>采购入库（发起）：到货登记关联采购订单</t>
  </si>
  <si>
    <t>采购入库列表</t>
  </si>
  <si>
    <t>执行由 FP3-01 承接</t>
  </si>
  <si>
    <t>销售订单列表（与 FP5-01 同页两线）</t>
  </si>
  <si>
    <t>采购退货单列表+新建弹窗</t>
  </si>
  <si>
    <t>G33·D-123（方案 B）→应付退款（对供应商）；人日待开发重估</t>
  </si>
  <si>
    <t>F01 导航图 v3.6</t>
  </si>
  <si>
    <t>覆盖五条主线+财务双通道；B1 采购线（09-04 拍板，不以销定采）</t>
  </si>
  <si>
    <t>迁移</t>
  </si>
  <si>
    <t>#4 主数据清单；执行由 FP3-01 承接</t>
  </si>
  <si>
    <t>#5 现有台账导出；期初走迁移（D-77）；审核后走销售出库（B3·V1.0）</t>
  </si>
  <si>
    <t>FP 码待补；租入体系起点，触发租入入库</t>
  </si>
  <si>
    <t>部署</t>
  </si>
  <si>
    <t>三版各发布一次；覆盖 F01 五条主线（B1 销售/采购双线、L1~L4）+ S1~S7 支线 + 应收/应付财务通道；每版上线前各跑一轮</t>
  </si>
  <si>
    <t>每版预留试运行窗口；依赖 #4 主数据清单；V1.0 前导客商/器具/零部件，V1.1 前导 BOM 与在租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</si>
</sst>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##"/>
    <numFmt numFmtId="177" formatCode="d"/>
    <numFmt numFmtId="178" formatCode="m/d"/>
    <numFmt numFmtId="179" formatCode="yyyy\-mm\-dd"/>
    <numFmt numFmtId="180" formatCode="0.0"/>
  </numFmts>
  <fonts count="30">
    <font>
      <sz val="11"/>
      <color theme="1"/>
      <name val="宋体"/>
      <charset val="134"/>
      <scheme val="minor"/>
    </font>
    <font>
      <b/>
      <sz val="13"/>
      <color rgb="FF1F4E79"/>
      <name val="宋体"/>
      <charset val="134"/>
      <scheme val="minor"/>
    </font>
    <font>
      <sz val="9"/>
      <color rgb="FF6B7280"/>
      <name val="宋体"/>
      <charset val="134"/>
      <scheme val="minor"/>
    </font>
    <font>
      <b/>
      <sz val="10"/>
      <color rgb="FFFFFFFF"/>
      <name val="Calibri"/>
      <charset val="134"/>
    </font>
    <font>
      <sz val="9"/>
      <name val="宋体"/>
      <charset val="134"/>
      <scheme val="minor"/>
    </font>
    <font>
      <b/>
      <sz val="9"/>
      <color rgb="FF1F4E79"/>
      <name val="宋体"/>
      <charset val="134"/>
      <scheme val="minor"/>
    </font>
    <font>
      <sz val="8"/>
      <color rgb="FF595959"/>
      <name val="宋体"/>
      <charset val="134"/>
      <scheme val="minor"/>
    </font>
    <font>
      <b/>
      <sz val="9"/>
      <color rgb="FFFFFFFF"/>
      <name val="宋体"/>
      <charset val="134"/>
      <scheme val="minor"/>
    </font>
    <font>
      <b/>
      <sz val="9"/>
      <name val="宋体"/>
      <charset val="134"/>
      <scheme val="minor"/>
    </font>
    <font>
      <sz val="8.5"/>
      <name val="宋体"/>
      <charset val="134"/>
      <scheme val="minor"/>
    </font>
    <font>
      <b/>
      <sz val="10"/>
      <color rgb="FF1F4E79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59595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1F4E79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1F4E7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0" fillId="10" borderId="6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7">
      <alignment vertical="center"/>
    </xf>
    <xf numFmtId="0" fontId="17" fillId="0" borderId="7">
      <alignment vertical="center"/>
    </xf>
    <xf numFmtId="0" fontId="18" fillId="0" borderId="8">
      <alignment vertical="center"/>
    </xf>
    <xf numFmtId="0" fontId="18" fillId="0" borderId="0">
      <alignment vertical="center"/>
    </xf>
    <xf numFmtId="0" fontId="19" fillId="11" borderId="9">
      <alignment vertical="center"/>
    </xf>
    <xf numFmtId="0" fontId="20" fillId="4" borderId="10">
      <alignment vertical="center"/>
    </xf>
    <xf numFmtId="0" fontId="21" fillId="4" borderId="9">
      <alignment vertical="center"/>
    </xf>
    <xf numFmtId="0" fontId="22" fillId="12" borderId="11">
      <alignment vertical="center"/>
    </xf>
    <xf numFmtId="0" fontId="23" fillId="0" borderId="12">
      <alignment vertical="center"/>
    </xf>
    <xf numFmtId="0" fontId="24" fillId="0" borderId="13">
      <alignment vertical="center"/>
    </xf>
    <xf numFmtId="0" fontId="25" fillId="13" borderId="0">
      <alignment vertical="center"/>
    </xf>
    <xf numFmtId="0" fontId="26" fillId="14" borderId="0">
      <alignment vertical="center"/>
    </xf>
    <xf numFmtId="0" fontId="27" fillId="15" borderId="0">
      <alignment vertical="center"/>
    </xf>
    <xf numFmtId="0" fontId="28" fillId="16" borderId="0">
      <alignment vertical="center"/>
    </xf>
    <xf numFmtId="0" fontId="29" fillId="17" borderId="0">
      <alignment vertical="center"/>
    </xf>
    <xf numFmtId="0" fontId="29" fillId="18" borderId="0">
      <alignment vertical="center"/>
    </xf>
    <xf numFmtId="0" fontId="28" fillId="19" borderId="0">
      <alignment vertical="center"/>
    </xf>
    <xf numFmtId="0" fontId="28" fillId="20" borderId="0">
      <alignment vertical="center"/>
    </xf>
    <xf numFmtId="0" fontId="29" fillId="21" borderId="0">
      <alignment vertical="center"/>
    </xf>
    <xf numFmtId="0" fontId="29" fillId="22" borderId="0">
      <alignment vertical="center"/>
    </xf>
    <xf numFmtId="0" fontId="28" fillId="23" borderId="0">
      <alignment vertical="center"/>
    </xf>
    <xf numFmtId="0" fontId="28" fillId="24" borderId="0">
      <alignment vertical="center"/>
    </xf>
    <xf numFmtId="0" fontId="29" fillId="25" borderId="0">
      <alignment vertical="center"/>
    </xf>
    <xf numFmtId="0" fontId="29" fillId="26" borderId="0">
      <alignment vertical="center"/>
    </xf>
    <xf numFmtId="0" fontId="28" fillId="27" borderId="0">
      <alignment vertical="center"/>
    </xf>
    <xf numFmtId="0" fontId="28" fillId="28" borderId="0">
      <alignment vertical="center"/>
    </xf>
    <xf numFmtId="0" fontId="29" fillId="29" borderId="0">
      <alignment vertical="center"/>
    </xf>
    <xf numFmtId="0" fontId="29" fillId="30" borderId="0">
      <alignment vertical="center"/>
    </xf>
    <xf numFmtId="0" fontId="28" fillId="31" borderId="0">
      <alignment vertical="center"/>
    </xf>
    <xf numFmtId="0" fontId="28" fillId="32" borderId="0">
      <alignment vertical="center"/>
    </xf>
    <xf numFmtId="0" fontId="29" fillId="33" borderId="0">
      <alignment vertical="center"/>
    </xf>
    <xf numFmtId="0" fontId="29" fillId="34" borderId="0">
      <alignment vertical="center"/>
    </xf>
    <xf numFmtId="0" fontId="28" fillId="35" borderId="0">
      <alignment vertical="center"/>
    </xf>
    <xf numFmtId="0" fontId="28" fillId="36" borderId="0">
      <alignment vertical="center"/>
    </xf>
    <xf numFmtId="0" fontId="29" fillId="37" borderId="0">
      <alignment vertical="center"/>
    </xf>
    <xf numFmtId="0" fontId="29" fillId="38" borderId="0">
      <alignment vertical="center"/>
    </xf>
    <xf numFmtId="0" fontId="28" fillId="39" borderId="0">
      <alignment vertical="center"/>
    </xf>
  </cellStyleXfs>
  <cellXfs count="4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177" fontId="6" fillId="0" borderId="0" xfId="0" applyNumberFormat="1" applyFont="1" applyAlignment="1">
      <alignment horizontal="center" vertical="center"/>
    </xf>
    <xf numFmtId="0" fontId="7" fillId="9" borderId="1" xfId="0" applyFont="1" applyFill="1" applyBorder="1"/>
    <xf numFmtId="0" fontId="0" fillId="9" borderId="0" xfId="0" applyFill="1"/>
    <xf numFmtId="0" fontId="8" fillId="0" borderId="1" xfId="0" applyFont="1" applyBorder="1" applyAlignment="1">
      <alignment horizontal="center" vertical="center"/>
    </xf>
    <xf numFmtId="178" fontId="4" fillId="0" borderId="1" xfId="0" applyNumberFormat="1" applyFont="1" applyBorder="1" applyAlignment="1">
      <alignment horizontal="left" vertical="center" wrapText="1"/>
    </xf>
    <xf numFmtId="178" fontId="4" fillId="0" borderId="1" xfId="0" applyNumberFormat="1" applyFont="1" applyBorder="1" applyAlignment="1">
      <alignment horizontal="center" vertical="center"/>
    </xf>
    <xf numFmtId="0" fontId="1" fillId="0" borderId="1" xfId="0" applyFont="1" applyBorder="1"/>
    <xf numFmtId="0" fontId="0" fillId="0" borderId="1" xfId="0" applyBorder="1"/>
    <xf numFmtId="179" fontId="4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 vertical="center"/>
    </xf>
    <xf numFmtId="176" fontId="8" fillId="3" borderId="4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0" fillId="0" borderId="0" xfId="0" applyFont="1"/>
    <xf numFmtId="176" fontId="4" fillId="4" borderId="1" xfId="0" applyNumberFormat="1" applyFont="1" applyFill="1" applyBorder="1" applyAlignment="1">
      <alignment horizontal="center" vertical="center"/>
    </xf>
    <xf numFmtId="0" fontId="0" fillId="4" borderId="1" xfId="0" applyFill="1" applyBorder="1"/>
    <xf numFmtId="0" fontId="8" fillId="0" borderId="5" xfId="0" applyFont="1" applyBorder="1" applyAlignment="1">
      <alignment horizontal="center" vertical="center"/>
    </xf>
    <xf numFmtId="176" fontId="8" fillId="0" borderId="5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176" fontId="8" fillId="0" borderId="1" xfId="0" applyNumberFormat="1" applyFont="1" applyBorder="1" applyAlignment="1">
      <alignment horizontal="center" vertical="center"/>
    </xf>
    <xf numFmtId="9" fontId="8" fillId="0" borderId="1" xfId="0" applyNumberFormat="1" applyFont="1" applyBorder="1" applyAlignment="1">
      <alignment horizontal="center" vertical="center"/>
    </xf>
    <xf numFmtId="176" fontId="8" fillId="4" borderId="1" xfId="0" applyNumberFormat="1" applyFont="1" applyFill="1" applyBorder="1" applyAlignment="1">
      <alignment horizontal="center" vertical="center"/>
    </xf>
    <xf numFmtId="180" fontId="8" fillId="4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7">
    <dxf>
      <fill>
        <patternFill patternType="solid">
          <bgColor rgb="FFFCE4E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9E2F3"/>
        </patternFill>
      </fill>
    </dxf>
    <dxf>
      <fill>
        <patternFill patternType="solid">
          <bgColor rgb="FFDDEBF7"/>
        </patternFill>
      </fill>
    </dxf>
    <dxf>
      <fill>
        <patternFill patternType="solid">
          <bgColor rgb="FFE2EFDA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E7E6E6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6350</xdr:colOff>
      <xdr:row>0</xdr:row>
      <xdr:rowOff>6350</xdr:rowOff>
    </xdr:from>
    <xdr:to>
      <xdr:col>24</xdr:col>
      <xdr:colOff>551815</xdr:colOff>
      <xdr:row>60</xdr:row>
      <xdr:rowOff>161290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0" y="6350"/>
          <a:ext cx="15175865" cy="1082294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A1"/>
    </sheetView>
  </sheetViews>
  <sheetFormatPr defaultColWidth="8.72727272727273" defaultRowHeight="14"/>
  <sheetData/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1"/>
  <sheetViews>
    <sheetView showGridLines="0" workbookViewId="0">
      <selection activeCell="C50" sqref="C50"/>
    </sheetView>
  </sheetViews>
  <sheetFormatPr defaultColWidth="9" defaultRowHeight="14" outlineLevelCol="7"/>
  <cols>
    <col min="1" max="1" width="10" customWidth="1"/>
    <col min="2" max="2" width="20" customWidth="1"/>
    <col min="3" max="3" width="42" customWidth="1"/>
    <col min="4" max="5" width="11" customWidth="1"/>
    <col min="6" max="6" width="14" customWidth="1"/>
    <col min="7" max="7" width="12" customWidth="1"/>
    <col min="8" max="8" width="13" customWidth="1"/>
  </cols>
  <sheetData>
    <row r="1" ht="16.5" spans="1:8">
      <c r="A1" s="23" t="s">
        <v>0</v>
      </c>
      <c r="B1" s="24"/>
      <c r="C1" s="24"/>
      <c r="D1" s="24"/>
      <c r="E1" s="24"/>
      <c r="F1" s="24"/>
      <c r="G1" s="24"/>
      <c r="H1" s="24"/>
    </row>
    <row r="2" spans="1:8">
      <c r="A2" s="24"/>
      <c r="B2" s="24"/>
      <c r="C2" s="24"/>
      <c r="D2" s="24"/>
      <c r="E2" s="24"/>
      <c r="F2" s="24"/>
      <c r="G2" s="24"/>
      <c r="H2" s="24"/>
    </row>
    <row r="3" ht="20" customHeight="1" spans="1:8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24"/>
      <c r="H3" s="24"/>
    </row>
    <row r="4" ht="22" customHeight="1" spans="1:8">
      <c r="A4" s="20" t="s">
        <v>7</v>
      </c>
      <c r="B4" s="6" t="s">
        <v>8</v>
      </c>
      <c r="C4" s="8">
        <f>SUMIF('功能点评估（全栈）'!$A$4:$A$76,$A4,'功能点评估（全栈）'!$H$4:$H$76)</f>
        <v>6</v>
      </c>
      <c r="D4" s="25">
        <f>IF(COUNT('功能点评估（全栈）'!K4:K7)=0,"",MIN('功能点评估（全栈）'!K4:K7))</f>
        <v>46267</v>
      </c>
      <c r="E4" s="25">
        <f>IF(COUNT('功能点评估（全栈）'!L4:L7)=0,"",MAX('功能点评估（全栈）'!L4:L7))</f>
        <v>46283</v>
      </c>
      <c r="F4" s="26" t="s">
        <v>9</v>
      </c>
      <c r="G4" s="15"/>
      <c r="H4" s="16"/>
    </row>
    <row r="5" ht="22" customHeight="1" spans="1:8">
      <c r="A5" s="20" t="s">
        <v>10</v>
      </c>
      <c r="B5" s="6" t="s">
        <v>11</v>
      </c>
      <c r="C5" s="8">
        <f>SUMIF('功能点评估（全栈）'!$A$4:$A$76,$A5,'功能点评估（全栈）'!$H$4:$H$76)</f>
        <v>1</v>
      </c>
      <c r="D5" s="25">
        <f>IF(COUNT('功能点评估（全栈）'!K8:K9)=0,"",MIN('功能点评估（全栈）'!K8:K9))</f>
        <v>46279</v>
      </c>
      <c r="E5" s="25">
        <f>IF(COUNT('功能点评估（全栈）'!L8:L9)=0,"",MAX('功能点评估（全栈）'!L8:L9))</f>
        <v>46283</v>
      </c>
      <c r="F5" s="26" t="s">
        <v>12</v>
      </c>
      <c r="G5" s="15"/>
      <c r="H5" s="16"/>
    </row>
    <row r="6" ht="22" customHeight="1" spans="1:8">
      <c r="A6" s="20" t="s">
        <v>13</v>
      </c>
      <c r="B6" s="6" t="s">
        <v>14</v>
      </c>
      <c r="C6" s="8">
        <f>SUMIF('功能点评估（全栈）'!$A$4:$A$76,$A6,'功能点评估（全栈）'!$H$4:$H$76)</f>
        <v>8.75</v>
      </c>
      <c r="D6" s="25">
        <f>IF(COUNT('功能点评估（全栈）'!K10:K15)=0,"",MIN('功能点评估（全栈）'!K10:K15))</f>
        <v>46272</v>
      </c>
      <c r="E6" s="25">
        <f>IF(COUNT('功能点评估（全栈）'!L10:L15)=0,"",MAX('功能点评估（全栈）'!L10:L15))</f>
        <v>46318</v>
      </c>
      <c r="F6" s="26"/>
      <c r="G6" s="15"/>
      <c r="H6" s="16"/>
    </row>
    <row r="7" ht="22" customHeight="1" spans="1:8">
      <c r="A7" s="20" t="s">
        <v>15</v>
      </c>
      <c r="B7" s="6" t="s">
        <v>16</v>
      </c>
      <c r="C7" s="8">
        <f>SUMIF('功能点评估（全栈）'!$A$4:$A$76,$A7,'功能点评估（全栈）'!$H$4:$H$76)</f>
        <v>9.5</v>
      </c>
      <c r="D7" s="25">
        <f>IF(COUNT('功能点评估（全栈）'!K16:K20)=0,"",MIN('功能点评估（全栈）'!K16:K20))</f>
        <v>46275</v>
      </c>
      <c r="E7" s="25">
        <f>IF(COUNT('功能点评估（全栈）'!L16:L20)=0,"",MAX('功能点评估（全栈）'!L16:L20))</f>
        <v>46316</v>
      </c>
      <c r="F7" s="26"/>
      <c r="G7" s="15"/>
      <c r="H7" s="16"/>
    </row>
    <row r="8" ht="22" customHeight="1" spans="1:8">
      <c r="A8" s="20" t="s">
        <v>17</v>
      </c>
      <c r="B8" s="6" t="s">
        <v>18</v>
      </c>
      <c r="C8" s="8">
        <f>SUMIF('功能点评估（全栈）'!$A$4:$A$76,$A8,'功能点评估（全栈）'!$H$4:$H$76)</f>
        <v>6.5</v>
      </c>
      <c r="D8" s="25">
        <f>IF(COUNT('功能点评估（全栈）'!K21:K25)=0,"",MIN('功能点评估（全栈）'!K21:K25))</f>
        <v>46275</v>
      </c>
      <c r="E8" s="25">
        <f>IF(COUNT('功能点评估（全栈）'!L21:L25)=0,"",MAX('功能点评估（全栈）'!L21:L25))</f>
        <v>46308</v>
      </c>
      <c r="F8" s="26"/>
      <c r="G8" s="15"/>
      <c r="H8" s="16"/>
    </row>
    <row r="9" ht="22" customHeight="1" spans="1:8">
      <c r="A9" s="20" t="s">
        <v>19</v>
      </c>
      <c r="B9" s="6" t="s">
        <v>20</v>
      </c>
      <c r="C9" s="8">
        <f>SUMIF('功能点评估（全栈）'!$A$4:$A$76,$A9,'功能点评估（全栈）'!$H$4:$H$76)</f>
        <v>24.5</v>
      </c>
      <c r="D9" s="25">
        <f>IF(COUNT('功能点评估（全栈）'!K26:K37)=0,"",MIN('功能点评估（全栈）'!K26:K37))</f>
        <v>46276</v>
      </c>
      <c r="E9" s="25">
        <f>IF(COUNT('功能点评估（全栈）'!L26:L37)=0,"",MAX('功能点评估（全栈）'!L26:L37))</f>
        <v>46349</v>
      </c>
      <c r="F9" s="26" t="s">
        <v>21</v>
      </c>
      <c r="G9" s="15"/>
      <c r="H9" s="16"/>
    </row>
    <row r="10" ht="22" customHeight="1" spans="1:8">
      <c r="A10" s="20" t="s">
        <v>22</v>
      </c>
      <c r="B10" s="6" t="s">
        <v>23</v>
      </c>
      <c r="C10" s="8">
        <f>SUMIF('功能点评估（全栈）'!$A$4:$A$76,$A10,'功能点评估（全栈）'!$H$4:$H$76)</f>
        <v>13</v>
      </c>
      <c r="D10" s="25">
        <f>IF(COUNT('功能点评估（全栈）'!K38:K42)=0,"",MIN('功能点评估（全栈）'!K38:K42))</f>
        <v>46307</v>
      </c>
      <c r="E10" s="25">
        <f>IF(COUNT('功能点评估（全栈）'!L38:L42)=0,"",MAX('功能点评估（全栈）'!L38:L42))</f>
        <v>46343</v>
      </c>
      <c r="F10" s="26" t="s">
        <v>24</v>
      </c>
      <c r="G10" s="15"/>
      <c r="H10" s="16"/>
    </row>
    <row r="11" ht="22" customHeight="1" spans="1:8">
      <c r="A11" s="20" t="s">
        <v>25</v>
      </c>
      <c r="B11" s="6" t="s">
        <v>26</v>
      </c>
      <c r="C11" s="8">
        <f>SUMIF('功能点评估（全栈）'!$A$4:$A$76,$A11,'功能点评估（全栈）'!$H$4:$H$76)</f>
        <v>10.5</v>
      </c>
      <c r="D11" s="25">
        <f>IF(COUNT('功能点评估（全栈）'!K43:K47)=0,"",MIN('功能点评估（全栈）'!K43:K47))</f>
        <v>46276</v>
      </c>
      <c r="E11" s="25">
        <f>IF(COUNT('功能点评估（全栈）'!L43:L47)=0,"",MAX('功能点评估（全栈）'!L43:L47))</f>
        <v>46350</v>
      </c>
      <c r="F11" s="26" t="s">
        <v>27</v>
      </c>
      <c r="G11" s="15"/>
      <c r="H11" s="16"/>
    </row>
    <row r="12" ht="22" customHeight="1" spans="1:8">
      <c r="A12" s="20" t="s">
        <v>28</v>
      </c>
      <c r="B12" s="6" t="s">
        <v>29</v>
      </c>
      <c r="C12" s="8">
        <f>SUMIF('功能点评估（全栈）'!$A$4:$A$76,$A12,'功能点评估（全栈）'!$H$4:$H$76)</f>
        <v>18.5</v>
      </c>
      <c r="D12" s="25">
        <f>IF(COUNT('功能点评估（全栈）'!K48:K55)=0,"",MIN('功能点评估（全栈）'!K48:K55))</f>
        <v>46282</v>
      </c>
      <c r="E12" s="25">
        <f>IF(COUNT('功能点评估（全栈）'!L48:L55)=0,"",MAX('功能点评估（全栈）'!L48:L55))</f>
        <v>46356</v>
      </c>
      <c r="F12" s="26" t="s">
        <v>30</v>
      </c>
      <c r="G12" s="15"/>
      <c r="H12" s="16"/>
    </row>
    <row r="13" ht="22" customHeight="1" spans="1:8">
      <c r="A13" s="20" t="s">
        <v>31</v>
      </c>
      <c r="B13" s="6" t="s">
        <v>32</v>
      </c>
      <c r="C13" s="8">
        <f>SUMIF('功能点评估（全栈）'!$A$4:$A$76,$A13,'功能点评估（全栈）'!$H$4:$H$76)</f>
        <v>3</v>
      </c>
      <c r="D13" s="25">
        <f>IF(COUNT('功能点评估（全栈）'!K56:K58)=0,"",MIN('功能点评估（全栈）'!K56:K58))</f>
        <v>46289</v>
      </c>
      <c r="E13" s="25">
        <f>IF(COUNT('功能点评估（全栈）'!L56:L58)=0,"",MAX('功能点评估（全栈）'!L56:L58))</f>
        <v>46349</v>
      </c>
      <c r="F13" s="26"/>
      <c r="G13" s="15"/>
      <c r="H13" s="16"/>
    </row>
    <row r="14" ht="22" customHeight="1" spans="1:8">
      <c r="A14" s="20" t="s">
        <v>33</v>
      </c>
      <c r="B14" s="6" t="s">
        <v>34</v>
      </c>
      <c r="C14" s="8">
        <f>SUMIF('功能点评估（全栈）'!$A$4:$A$76,$A14,'功能点评估（全栈）'!$H$4:$H$76)</f>
        <v>7.5</v>
      </c>
      <c r="D14" s="25">
        <f>IF(COUNT('功能点评估（全栈）'!K59:K63)=0,"",MIN('功能点评估（全栈）'!K59:K63))</f>
        <v>46286</v>
      </c>
      <c r="E14" s="25">
        <f>IF(COUNT('功能点评估（全栈）'!L59:L63)=0,"",MAX('功能点评估（全栈）'!L59:L63))</f>
        <v>46295</v>
      </c>
      <c r="F14" s="26" t="s">
        <v>35</v>
      </c>
      <c r="G14" s="15"/>
      <c r="H14" s="16"/>
    </row>
    <row r="15" ht="22" customHeight="1" spans="1:8">
      <c r="A15" s="20" t="s">
        <v>36</v>
      </c>
      <c r="B15" s="6" t="s">
        <v>37</v>
      </c>
      <c r="C15" s="8">
        <f>SUMIF('功能点评估（全栈）'!$A$4:$A$76,$A15,'功能点评估（全栈）'!$H$4:$H$76)</f>
        <v>17</v>
      </c>
      <c r="D15" s="25">
        <f>IF(COUNT('功能点评估（全栈）'!K64:K65)=0,"",MIN('功能点评估（全栈）'!K64:K65))</f>
        <v>46308</v>
      </c>
      <c r="E15" s="25">
        <f>IF(COUNT('功能点评估（全栈）'!L64:L65)=0,"",MAX('功能点评估（全栈）'!L64:L65))</f>
        <v>46370</v>
      </c>
      <c r="F15" s="26" t="s">
        <v>38</v>
      </c>
      <c r="G15" s="15"/>
      <c r="H15" s="16"/>
    </row>
    <row r="16" ht="22" customHeight="1" spans="1:8">
      <c r="A16" s="20" t="s">
        <v>39</v>
      </c>
      <c r="B16" s="6" t="s">
        <v>40</v>
      </c>
      <c r="C16" s="8">
        <f>SUMIF('功能点评估（全栈）'!$A$4:$A$76,$A16,'功能点评估（全栈）'!$H$4:$H$76)</f>
        <v>13</v>
      </c>
      <c r="D16" s="25">
        <f>IF(COUNT('功能点评估（全栈）'!K66:K68)=0,"",MIN('功能点评估（全栈）'!K66:K68))</f>
        <v>46308</v>
      </c>
      <c r="E16" s="25">
        <f>IF(COUNT('功能点评估（全栈）'!L66:L68)=0,"",MAX('功能点评估（全栈）'!L66:L68))</f>
        <v>46367</v>
      </c>
      <c r="F16" s="26" t="s">
        <v>41</v>
      </c>
      <c r="G16" s="15"/>
      <c r="H16" s="16"/>
    </row>
    <row r="17" ht="22" customHeight="1" spans="1:8">
      <c r="A17" s="20" t="s">
        <v>42</v>
      </c>
      <c r="B17" s="6" t="s">
        <v>43</v>
      </c>
      <c r="C17" s="8">
        <f>SUMIF('功能点评估（全栈）'!$A$4:$A$76,$A17,'功能点评估（全栈）'!$H$4:$H$76)</f>
        <v>15</v>
      </c>
      <c r="D17" s="25">
        <f>IF(COUNT('功能点评估（全栈）'!K69:K71)=0,"",MIN('功能点评估（全栈）'!K69:K71))</f>
        <v>46314</v>
      </c>
      <c r="E17" s="25">
        <f>IF(COUNT('功能点评估（全栈）'!L69:L71)=0,"",MAX('功能点评估（全栈）'!L69:L71))</f>
        <v>46381</v>
      </c>
      <c r="F17" s="26" t="s">
        <v>44</v>
      </c>
      <c r="G17" s="15"/>
      <c r="H17" s="16"/>
    </row>
    <row r="18" spans="1:8">
      <c r="A18" s="24"/>
      <c r="B18" s="27" t="s">
        <v>45</v>
      </c>
      <c r="C18" s="28">
        <f>SUM(C4:C17)</f>
        <v>153.75</v>
      </c>
      <c r="D18" s="27">
        <f>IF(COUNT(D4:D17)=0,"",MIN(D4:D17))</f>
        <v>46267</v>
      </c>
      <c r="E18" s="27">
        <f>IF(COUNT(E4:E17)=0,"",MAX(E4:E17))</f>
        <v>46381</v>
      </c>
      <c r="F18" s="24"/>
      <c r="G18" s="24"/>
      <c r="H18" s="24"/>
    </row>
    <row r="19" spans="1:8">
      <c r="A19" s="24"/>
      <c r="B19" s="24"/>
      <c r="C19" s="24"/>
      <c r="D19" s="24"/>
      <c r="E19" s="24"/>
      <c r="F19" s="24"/>
      <c r="G19" s="24"/>
      <c r="H19" s="24"/>
    </row>
    <row r="20" ht="117" spans="1:8">
      <c r="A20" s="29" t="s">
        <v>46</v>
      </c>
      <c r="B20" s="30"/>
      <c r="C20" s="30"/>
      <c r="D20" s="30"/>
      <c r="E20" s="30"/>
      <c r="F20" s="30"/>
      <c r="G20" s="30"/>
      <c r="H20" s="30"/>
    </row>
    <row r="21" ht="20" customHeight="1" spans="1:8">
      <c r="A21" s="3" t="s">
        <v>47</v>
      </c>
      <c r="B21" s="3" t="s">
        <v>48</v>
      </c>
      <c r="C21" s="3" t="s">
        <v>49</v>
      </c>
      <c r="D21" s="3" t="s">
        <v>3</v>
      </c>
      <c r="E21" s="3" t="s">
        <v>50</v>
      </c>
      <c r="F21" s="3" t="s">
        <v>4</v>
      </c>
      <c r="G21" s="3" t="s">
        <v>5</v>
      </c>
      <c r="H21" s="3" t="s">
        <v>51</v>
      </c>
    </row>
    <row r="22" ht="30" customHeight="1" spans="1:8">
      <c r="A22" s="5" t="s">
        <v>52</v>
      </c>
      <c r="B22" s="5" t="s">
        <v>53</v>
      </c>
      <c r="C22" s="6" t="s">
        <v>54</v>
      </c>
      <c r="D22" s="31">
        <v>12.75</v>
      </c>
      <c r="E22" s="31">
        <f>ROUND(D22*(1+$C$46),2)</f>
        <v>14.66</v>
      </c>
      <c r="F22" s="25">
        <v>46267</v>
      </c>
      <c r="G22" s="25">
        <v>46283</v>
      </c>
      <c r="H22" s="5" t="s">
        <v>55</v>
      </c>
    </row>
    <row r="23" ht="30" customHeight="1" spans="1:8">
      <c r="A23" s="5" t="s">
        <v>56</v>
      </c>
      <c r="B23" s="5" t="s">
        <v>57</v>
      </c>
      <c r="C23" s="6" t="s">
        <v>58</v>
      </c>
      <c r="D23" s="31">
        <v>41</v>
      </c>
      <c r="E23" s="31">
        <f>ROUND(D23*(1+$C$46),2)</f>
        <v>47.15</v>
      </c>
      <c r="F23" s="25">
        <v>46275</v>
      </c>
      <c r="G23" s="25">
        <v>46295</v>
      </c>
      <c r="H23" s="5" t="s">
        <v>59</v>
      </c>
    </row>
    <row r="24" ht="30" customHeight="1" spans="1:8">
      <c r="A24" s="5" t="s">
        <v>60</v>
      </c>
      <c r="B24" s="5" t="s">
        <v>61</v>
      </c>
      <c r="C24" s="6" t="s">
        <v>62</v>
      </c>
      <c r="D24" s="31">
        <v>34.5</v>
      </c>
      <c r="E24" s="31">
        <f>ROUND(D24*(1+$C$46),2)</f>
        <v>39.68</v>
      </c>
      <c r="F24" s="25">
        <v>46282</v>
      </c>
      <c r="G24" s="25">
        <v>46338</v>
      </c>
      <c r="H24" s="5" t="s">
        <v>63</v>
      </c>
    </row>
    <row r="25" ht="30" customHeight="1" spans="1:8">
      <c r="A25" s="5" t="s">
        <v>64</v>
      </c>
      <c r="B25" s="5" t="s">
        <v>65</v>
      </c>
      <c r="C25" s="6" t="s">
        <v>66</v>
      </c>
      <c r="D25" s="31">
        <v>20.5</v>
      </c>
      <c r="E25" s="31">
        <f>ROUND(D25*(1+$C$46),2)</f>
        <v>23.58</v>
      </c>
      <c r="F25" s="25">
        <v>46339</v>
      </c>
      <c r="G25" s="25">
        <v>46356</v>
      </c>
      <c r="H25" s="5" t="s">
        <v>67</v>
      </c>
    </row>
    <row r="26" ht="30" customHeight="1" spans="1:8">
      <c r="A26" s="5" t="s">
        <v>68</v>
      </c>
      <c r="B26" s="5" t="s">
        <v>69</v>
      </c>
      <c r="C26" s="6" t="s">
        <v>70</v>
      </c>
      <c r="D26" s="32"/>
      <c r="E26" s="32"/>
      <c r="F26" s="24"/>
      <c r="G26" s="24"/>
      <c r="H26" s="5" t="s">
        <v>71</v>
      </c>
    </row>
    <row r="27" ht="30" customHeight="1" spans="1:8">
      <c r="A27" s="5" t="s">
        <v>72</v>
      </c>
      <c r="B27" s="5" t="s">
        <v>73</v>
      </c>
      <c r="C27" s="6" t="s">
        <v>74</v>
      </c>
      <c r="D27" s="31">
        <v>45</v>
      </c>
      <c r="E27" s="31">
        <f>ROUND(D27*(1+$C$46),2)</f>
        <v>51.75</v>
      </c>
      <c r="F27" s="25">
        <v>46308</v>
      </c>
      <c r="G27" s="25">
        <v>46381</v>
      </c>
      <c r="H27" s="5" t="s">
        <v>75</v>
      </c>
    </row>
    <row r="28" ht="14.75" spans="1:8">
      <c r="A28" s="24"/>
      <c r="B28" s="24"/>
      <c r="C28" s="33" t="s">
        <v>76</v>
      </c>
      <c r="D28" s="34">
        <f>SUM(D22:D27)</f>
        <v>153.75</v>
      </c>
      <c r="E28" s="34" t="str">
        <f>IF(D28=C18,"✓ 一致","✗ 不一致")</f>
        <v>✓ 一致</v>
      </c>
      <c r="F28" s="24"/>
      <c r="G28" s="24"/>
      <c r="H28" s="24"/>
    </row>
    <row r="29" spans="1:8">
      <c r="A29" s="24"/>
      <c r="B29" s="24"/>
      <c r="C29" s="24"/>
      <c r="D29" s="24"/>
      <c r="E29" s="24"/>
      <c r="F29" s="24"/>
      <c r="G29" s="24"/>
      <c r="H29" s="24"/>
    </row>
    <row r="30" ht="65" spans="1:8">
      <c r="A30" s="29" t="s">
        <v>77</v>
      </c>
      <c r="B30" s="30"/>
      <c r="C30" s="30"/>
      <c r="D30" s="30"/>
      <c r="E30" s="30"/>
      <c r="F30" s="30"/>
      <c r="G30" s="30"/>
      <c r="H30" s="30"/>
    </row>
    <row r="31" ht="20" customHeight="1" spans="1:8">
      <c r="A31" s="3" t="s">
        <v>78</v>
      </c>
      <c r="B31" s="3" t="s">
        <v>79</v>
      </c>
      <c r="C31" s="3" t="s">
        <v>80</v>
      </c>
      <c r="D31" s="3" t="s">
        <v>81</v>
      </c>
      <c r="E31" s="3" t="s">
        <v>82</v>
      </c>
      <c r="F31" s="24"/>
      <c r="G31" s="24"/>
      <c r="H31" s="24"/>
    </row>
    <row r="32" ht="22" customHeight="1" spans="1:8">
      <c r="A32" s="5" t="s">
        <v>83</v>
      </c>
      <c r="B32" s="8">
        <v>46</v>
      </c>
      <c r="C32" s="8">
        <v>54</v>
      </c>
      <c r="D32" s="35">
        <f>B32/C32</f>
        <v>0.851851851851852</v>
      </c>
      <c r="E32" s="6" t="s">
        <v>84</v>
      </c>
      <c r="F32" s="15"/>
      <c r="G32" s="15"/>
      <c r="H32" s="16"/>
    </row>
    <row r="33" ht="22" customHeight="1" spans="1:8">
      <c r="A33" s="5" t="s">
        <v>85</v>
      </c>
      <c r="B33" s="8">
        <v>47.5</v>
      </c>
      <c r="C33" s="8">
        <v>48</v>
      </c>
      <c r="D33" s="35">
        <f>B33/C33</f>
        <v>0.989583333333333</v>
      </c>
      <c r="E33" s="6" t="s">
        <v>86</v>
      </c>
      <c r="F33" s="15"/>
      <c r="G33" s="15"/>
      <c r="H33" s="16"/>
    </row>
    <row r="34" ht="22" customHeight="1" spans="1:8">
      <c r="A34" s="5" t="s">
        <v>87</v>
      </c>
      <c r="B34" s="8">
        <v>46</v>
      </c>
      <c r="C34" s="8">
        <v>63</v>
      </c>
      <c r="D34" s="35">
        <f>B34/C34</f>
        <v>0.73015873015873</v>
      </c>
      <c r="E34" s="6" t="s">
        <v>88</v>
      </c>
      <c r="F34" s="15"/>
      <c r="G34" s="15"/>
      <c r="H34" s="16"/>
    </row>
    <row r="35" ht="22" customHeight="1" spans="1:8">
      <c r="A35" s="5" t="s">
        <v>89</v>
      </c>
      <c r="B35" s="8">
        <v>37.31</v>
      </c>
      <c r="C35" s="8">
        <v>69</v>
      </c>
      <c r="D35" s="35">
        <f>B35/C35</f>
        <v>0.540724637681159</v>
      </c>
      <c r="E35" s="6" t="s">
        <v>90</v>
      </c>
      <c r="F35" s="15"/>
      <c r="G35" s="15"/>
      <c r="H35" s="16"/>
    </row>
    <row r="36" ht="22" customHeight="1" spans="1:8">
      <c r="A36" s="20" t="s">
        <v>91</v>
      </c>
      <c r="B36" s="36">
        <f>SUM(B32:B35)</f>
        <v>176.81</v>
      </c>
      <c r="C36" s="36">
        <f>SUM(C32:C35)</f>
        <v>234</v>
      </c>
      <c r="D36" s="37">
        <f>B36/C36</f>
        <v>0.755598290598291</v>
      </c>
      <c r="E36" s="24"/>
      <c r="F36" s="15"/>
      <c r="G36" s="15"/>
      <c r="H36" s="16"/>
    </row>
    <row r="37" spans="1:8">
      <c r="A37" s="24"/>
      <c r="B37" s="24"/>
      <c r="C37" s="24"/>
      <c r="D37" s="24"/>
      <c r="E37" s="24"/>
      <c r="F37" s="24"/>
      <c r="G37" s="24"/>
      <c r="H37" s="24"/>
    </row>
    <row r="38" ht="52" spans="1:8">
      <c r="A38" s="29" t="s">
        <v>92</v>
      </c>
      <c r="B38" s="30"/>
      <c r="C38" s="30"/>
      <c r="D38" s="30"/>
      <c r="E38" s="30"/>
      <c r="F38" s="30"/>
      <c r="G38" s="30"/>
      <c r="H38" s="30"/>
    </row>
    <row r="39" ht="20" customHeight="1" spans="1:8">
      <c r="A39" s="20" t="s">
        <v>93</v>
      </c>
      <c r="B39" s="20" t="s">
        <v>94</v>
      </c>
      <c r="C39" s="26"/>
      <c r="D39" s="15"/>
      <c r="E39" s="15"/>
      <c r="F39" s="15"/>
      <c r="G39" s="15"/>
      <c r="H39" s="16"/>
    </row>
    <row r="40" ht="20" customHeight="1" spans="1:8">
      <c r="A40" s="20" t="s">
        <v>95</v>
      </c>
      <c r="B40" s="20" t="s">
        <v>96</v>
      </c>
      <c r="C40" s="26"/>
      <c r="D40" s="15"/>
      <c r="E40" s="15"/>
      <c r="F40" s="15"/>
      <c r="G40" s="15"/>
      <c r="H40" s="16"/>
    </row>
    <row r="41" ht="20" customHeight="1" spans="1:8">
      <c r="A41" s="20" t="s">
        <v>97</v>
      </c>
      <c r="B41" s="20" t="s">
        <v>98</v>
      </c>
      <c r="C41" s="26"/>
      <c r="D41" s="15"/>
      <c r="E41" s="15"/>
      <c r="F41" s="15"/>
      <c r="G41" s="15"/>
      <c r="H41" s="16"/>
    </row>
    <row r="42" ht="20" customHeight="1" spans="1:8">
      <c r="A42" s="20" t="s">
        <v>99</v>
      </c>
      <c r="B42" s="20" t="s">
        <v>100</v>
      </c>
      <c r="C42" s="26"/>
      <c r="D42" s="15"/>
      <c r="E42" s="15"/>
      <c r="F42" s="15"/>
      <c r="G42" s="15"/>
      <c r="H42" s="16"/>
    </row>
    <row r="43" ht="20" customHeight="1" spans="1:8">
      <c r="A43" s="20" t="s">
        <v>101</v>
      </c>
      <c r="B43" s="20" t="s">
        <v>102</v>
      </c>
      <c r="C43" s="26"/>
      <c r="D43" s="15"/>
      <c r="E43" s="15"/>
      <c r="F43" s="15"/>
      <c r="G43" s="15"/>
      <c r="H43" s="16"/>
    </row>
    <row r="44" spans="1:8">
      <c r="A44" s="24"/>
      <c r="B44" s="24"/>
      <c r="C44" s="24"/>
      <c r="D44" s="24"/>
      <c r="E44" s="24"/>
      <c r="F44" s="24"/>
      <c r="G44" s="24"/>
      <c r="H44" s="24"/>
    </row>
    <row r="45" ht="26" spans="1:8">
      <c r="A45" s="29" t="s">
        <v>103</v>
      </c>
      <c r="B45" s="30"/>
      <c r="C45" s="30"/>
      <c r="D45" s="30"/>
      <c r="E45" s="30"/>
      <c r="F45" s="30"/>
      <c r="G45" s="30"/>
      <c r="H45" s="30"/>
    </row>
    <row r="46" spans="1:8">
      <c r="A46" s="6" t="s">
        <v>104</v>
      </c>
      <c r="B46" s="24"/>
      <c r="C46" s="38">
        <v>0.15</v>
      </c>
      <c r="D46" s="26" t="s">
        <v>105</v>
      </c>
      <c r="E46" s="15"/>
      <c r="F46" s="15"/>
      <c r="G46" s="15"/>
      <c r="H46" s="16"/>
    </row>
    <row r="47" spans="1:8">
      <c r="A47" s="6" t="s">
        <v>106</v>
      </c>
      <c r="B47" s="24"/>
      <c r="C47" s="38">
        <v>3</v>
      </c>
      <c r="D47" s="26" t="s">
        <v>107</v>
      </c>
      <c r="E47" s="15"/>
      <c r="F47" s="15"/>
      <c r="G47" s="15"/>
      <c r="H47" s="16"/>
    </row>
    <row r="48" spans="1:8">
      <c r="A48" s="6" t="s">
        <v>108</v>
      </c>
      <c r="B48" s="24"/>
      <c r="C48" s="38">
        <v>21</v>
      </c>
      <c r="D48" s="26" t="s">
        <v>109</v>
      </c>
      <c r="E48" s="15"/>
      <c r="F48" s="15"/>
      <c r="G48" s="15"/>
      <c r="H48" s="16"/>
    </row>
    <row r="49" ht="24" spans="1:8">
      <c r="A49" s="6" t="s">
        <v>110</v>
      </c>
      <c r="B49" s="24"/>
      <c r="C49" s="38">
        <f>IF(OR($C$46="",$C$18=0),"",$C$18*(1+$C$46))</f>
        <v>176.8125</v>
      </c>
      <c r="D49" s="26" t="s">
        <v>111</v>
      </c>
      <c r="E49" s="15"/>
      <c r="F49" s="15"/>
      <c r="G49" s="15"/>
      <c r="H49" s="16"/>
    </row>
    <row r="50" ht="24" spans="1:8">
      <c r="A50" s="6" t="s">
        <v>112</v>
      </c>
      <c r="B50" s="24"/>
      <c r="C50" s="39">
        <f>IF(OR($C$46="",$C$47="",$C$47=0,$C$49=""),"",$C$49/($C$48*$C$47))</f>
        <v>2.80654761904762</v>
      </c>
      <c r="D50" s="26" t="s">
        <v>113</v>
      </c>
      <c r="E50" s="15"/>
      <c r="F50" s="15"/>
      <c r="G50" s="15"/>
      <c r="H50" s="16"/>
    </row>
    <row r="51" spans="1:8">
      <c r="A51" s="6"/>
      <c r="B51" s="24"/>
      <c r="C51" s="39"/>
      <c r="D51" s="26"/>
      <c r="E51" s="15"/>
      <c r="F51" s="15"/>
      <c r="G51" s="15"/>
      <c r="H51" s="16"/>
    </row>
  </sheetData>
  <mergeCells count="30">
    <mergeCell ref="F4:H4"/>
    <mergeCell ref="F5:H5"/>
    <mergeCell ref="F6:H6"/>
    <mergeCell ref="F7:H7"/>
    <mergeCell ref="F8:H8"/>
    <mergeCell ref="F9:H9"/>
    <mergeCell ref="F10:H10"/>
    <mergeCell ref="F11:H11"/>
    <mergeCell ref="F12:H12"/>
    <mergeCell ref="F13:H13"/>
    <mergeCell ref="F14:H14"/>
    <mergeCell ref="F15:H15"/>
    <mergeCell ref="F16:H16"/>
    <mergeCell ref="F17:H17"/>
    <mergeCell ref="E32:H32"/>
    <mergeCell ref="E33:H33"/>
    <mergeCell ref="E34:H34"/>
    <mergeCell ref="E35:H35"/>
    <mergeCell ref="E36:H36"/>
    <mergeCell ref="C39:H39"/>
    <mergeCell ref="C40:H40"/>
    <mergeCell ref="C41:H41"/>
    <mergeCell ref="C42:H42"/>
    <mergeCell ref="C43:H43"/>
    <mergeCell ref="D46:H46"/>
    <mergeCell ref="D47:H47"/>
    <mergeCell ref="D48:H48"/>
    <mergeCell ref="D49:H49"/>
    <mergeCell ref="D50:H50"/>
    <mergeCell ref="D51:H5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E32"/>
  <sheetViews>
    <sheetView workbookViewId="0">
      <pane xSplit="5" ySplit="4" topLeftCell="F5" activePane="bottomRight" state="frozen"/>
      <selection/>
      <selection pane="topRight"/>
      <selection pane="bottomLeft"/>
      <selection pane="bottomRight" activeCell="B7" sqref="B7"/>
    </sheetView>
  </sheetViews>
  <sheetFormatPr defaultColWidth="9" defaultRowHeight="14"/>
  <cols>
    <col min="1" max="1" width="6" customWidth="1"/>
    <col min="2" max="2" width="38.9090909090909" customWidth="1"/>
    <col min="3" max="3" width="9.27272727272727" customWidth="1"/>
    <col min="4" max="4" width="7" customWidth="1"/>
    <col min="5" max="5" width="6" customWidth="1"/>
    <col min="6" max="83" width="2.63636363636364" customWidth="1"/>
  </cols>
  <sheetData>
    <row r="1" ht="16.5" spans="1:83">
      <c r="A1" s="1" t="s">
        <v>114</v>
      </c>
    </row>
    <row r="2" spans="1:83">
      <c r="A2" s="2" t="s">
        <v>115</v>
      </c>
    </row>
    <row r="3" ht="14.5" customHeight="1" spans="1:83">
      <c r="A3" s="13" t="s">
        <v>1</v>
      </c>
      <c r="B3" s="13" t="s">
        <v>116</v>
      </c>
      <c r="C3" s="13" t="s">
        <v>117</v>
      </c>
      <c r="D3" s="13" t="s">
        <v>118</v>
      </c>
      <c r="E3" s="13" t="s">
        <v>119</v>
      </c>
      <c r="F3" s="14" t="s">
        <v>120</v>
      </c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6"/>
      <c r="AA3" s="14" t="s">
        <v>121</v>
      </c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6"/>
      <c r="AR3" s="14" t="s">
        <v>122</v>
      </c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6"/>
      <c r="BM3" s="14" t="s">
        <v>123</v>
      </c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6"/>
    </row>
    <row r="4" spans="1:83">
      <c r="F4" s="17">
        <v>46267</v>
      </c>
      <c r="G4" s="17">
        <v>46268</v>
      </c>
      <c r="H4" s="17">
        <v>46269</v>
      </c>
      <c r="I4" s="17">
        <v>46272</v>
      </c>
      <c r="J4" s="17">
        <v>46273</v>
      </c>
      <c r="K4" s="17">
        <v>46274</v>
      </c>
      <c r="L4" s="17">
        <v>46275</v>
      </c>
      <c r="M4" s="17">
        <v>46276</v>
      </c>
      <c r="N4" s="17">
        <v>46279</v>
      </c>
      <c r="O4" s="17">
        <v>46280</v>
      </c>
      <c r="P4" s="17">
        <v>46281</v>
      </c>
      <c r="Q4" s="17">
        <v>46282</v>
      </c>
      <c r="R4" s="17">
        <v>46283</v>
      </c>
      <c r="S4" s="17">
        <v>46286</v>
      </c>
      <c r="T4" s="17">
        <v>46287</v>
      </c>
      <c r="U4" s="17">
        <v>46288</v>
      </c>
      <c r="V4" s="17">
        <v>46289</v>
      </c>
      <c r="W4" s="17">
        <v>46290</v>
      </c>
      <c r="X4" s="17">
        <v>46293</v>
      </c>
      <c r="Y4" s="17">
        <v>46294</v>
      </c>
      <c r="Z4" s="17">
        <v>46295</v>
      </c>
      <c r="AA4" s="17">
        <v>46303</v>
      </c>
      <c r="AB4" s="17">
        <v>46304</v>
      </c>
      <c r="AC4" s="17">
        <v>46307</v>
      </c>
      <c r="AD4" s="17">
        <v>46308</v>
      </c>
      <c r="AE4" s="17">
        <v>46309</v>
      </c>
      <c r="AF4" s="17">
        <v>46310</v>
      </c>
      <c r="AG4" s="17">
        <v>46311</v>
      </c>
      <c r="AH4" s="17">
        <v>46314</v>
      </c>
      <c r="AI4" s="17">
        <v>46315</v>
      </c>
      <c r="AJ4" s="17">
        <v>46316</v>
      </c>
      <c r="AK4" s="17">
        <v>46317</v>
      </c>
      <c r="AL4" s="17">
        <v>46318</v>
      </c>
      <c r="AM4" s="17">
        <v>46321</v>
      </c>
      <c r="AN4" s="17">
        <v>46322</v>
      </c>
      <c r="AO4" s="17">
        <v>46323</v>
      </c>
      <c r="AP4" s="17">
        <v>46324</v>
      </c>
      <c r="AQ4" s="17">
        <v>46325</v>
      </c>
      <c r="AR4" s="17">
        <v>46328</v>
      </c>
      <c r="AS4" s="17">
        <v>46329</v>
      </c>
      <c r="AT4" s="17">
        <v>46330</v>
      </c>
      <c r="AU4" s="17">
        <v>46331</v>
      </c>
      <c r="AV4" s="17">
        <v>46332</v>
      </c>
      <c r="AW4" s="17">
        <v>46335</v>
      </c>
      <c r="AX4" s="17">
        <v>46336</v>
      </c>
      <c r="AY4" s="17">
        <v>46337</v>
      </c>
      <c r="AZ4" s="17">
        <v>46338</v>
      </c>
      <c r="BA4" s="17">
        <v>46339</v>
      </c>
      <c r="BB4" s="17">
        <v>46342</v>
      </c>
      <c r="BC4" s="17">
        <v>46343</v>
      </c>
      <c r="BD4" s="17">
        <v>46344</v>
      </c>
      <c r="BE4" s="17">
        <v>46345</v>
      </c>
      <c r="BF4" s="17">
        <v>46346</v>
      </c>
      <c r="BG4" s="17">
        <v>46349</v>
      </c>
      <c r="BH4" s="17">
        <v>46350</v>
      </c>
      <c r="BI4" s="17">
        <v>46351</v>
      </c>
      <c r="BJ4" s="17">
        <v>46352</v>
      </c>
      <c r="BK4" s="17">
        <v>46353</v>
      </c>
      <c r="BL4" s="17">
        <v>46356</v>
      </c>
      <c r="BM4" s="17">
        <v>46357</v>
      </c>
      <c r="BN4" s="17">
        <v>46358</v>
      </c>
      <c r="BO4" s="17">
        <v>46359</v>
      </c>
      <c r="BP4" s="17">
        <v>46360</v>
      </c>
      <c r="BQ4" s="17">
        <v>46363</v>
      </c>
      <c r="BR4" s="17">
        <v>46364</v>
      </c>
      <c r="BS4" s="17">
        <v>46365</v>
      </c>
      <c r="BT4" s="17">
        <v>46366</v>
      </c>
      <c r="BU4" s="17">
        <v>46367</v>
      </c>
      <c r="BV4" s="17">
        <v>46370</v>
      </c>
      <c r="BW4" s="17">
        <v>46371</v>
      </c>
      <c r="BX4" s="17">
        <v>46372</v>
      </c>
      <c r="BY4" s="17">
        <v>46373</v>
      </c>
      <c r="BZ4" s="17">
        <v>46374</v>
      </c>
      <c r="CA4" s="17">
        <v>46377</v>
      </c>
      <c r="CB4" s="17">
        <v>46378</v>
      </c>
      <c r="CC4" s="17">
        <v>46379</v>
      </c>
      <c r="CD4" s="17">
        <v>46380</v>
      </c>
      <c r="CE4" s="17">
        <v>46381</v>
      </c>
    </row>
    <row r="5" spans="1:83">
      <c r="A5" s="18" t="s">
        <v>124</v>
      </c>
      <c r="B5" s="15"/>
      <c r="C5" s="15"/>
      <c r="D5" s="15"/>
      <c r="E5" s="16"/>
      <c r="F5" s="19"/>
    </row>
    <row r="6" spans="1:83">
      <c r="A6" s="20" t="s">
        <v>52</v>
      </c>
      <c r="B6" s="5" t="s">
        <v>125</v>
      </c>
      <c r="C6" s="8">
        <v>6</v>
      </c>
      <c r="D6" s="21">
        <v>46267</v>
      </c>
      <c r="E6" s="22">
        <v>46283</v>
      </c>
    </row>
    <row r="7" spans="1:83">
      <c r="A7" s="20" t="s">
        <v>52</v>
      </c>
      <c r="B7" s="5" t="s">
        <v>126</v>
      </c>
      <c r="C7" s="8">
        <v>1</v>
      </c>
      <c r="D7" s="21">
        <v>46279</v>
      </c>
      <c r="E7" s="22">
        <v>46283</v>
      </c>
    </row>
    <row r="8" spans="1:83">
      <c r="A8" s="20" t="s">
        <v>52</v>
      </c>
      <c r="B8" s="5" t="s">
        <v>127</v>
      </c>
      <c r="C8" s="8">
        <v>5.75</v>
      </c>
      <c r="D8" s="21">
        <v>46272</v>
      </c>
      <c r="E8" s="22">
        <v>46275</v>
      </c>
    </row>
    <row r="9" spans="1:83">
      <c r="A9" s="18" t="s">
        <v>128</v>
      </c>
      <c r="B9" s="15"/>
      <c r="C9" s="15"/>
      <c r="D9" s="15"/>
      <c r="E9" s="16"/>
      <c r="F9" s="19"/>
    </row>
    <row r="10" spans="1:83">
      <c r="A10" s="20" t="s">
        <v>56</v>
      </c>
      <c r="B10" s="5" t="s">
        <v>129</v>
      </c>
      <c r="C10" s="8">
        <v>6.5</v>
      </c>
      <c r="D10" s="21">
        <v>46275</v>
      </c>
      <c r="E10" s="22">
        <v>46283</v>
      </c>
    </row>
    <row r="11" spans="1:83">
      <c r="A11" s="20" t="s">
        <v>56</v>
      </c>
      <c r="B11" s="5" t="s">
        <v>130</v>
      </c>
      <c r="C11" s="8">
        <v>1.5</v>
      </c>
      <c r="D11" s="21">
        <v>46275</v>
      </c>
      <c r="E11" s="22">
        <v>46276</v>
      </c>
    </row>
    <row r="12" spans="1:83">
      <c r="A12" s="20" t="s">
        <v>56</v>
      </c>
      <c r="B12" s="5" t="s">
        <v>131</v>
      </c>
      <c r="C12" s="8">
        <v>14</v>
      </c>
      <c r="D12" s="21">
        <v>46276</v>
      </c>
      <c r="E12" s="22">
        <v>46293</v>
      </c>
    </row>
    <row r="13" spans="1:83">
      <c r="A13" s="20" t="s">
        <v>56</v>
      </c>
      <c r="B13" s="5" t="s">
        <v>132</v>
      </c>
      <c r="C13" s="8">
        <v>4.5</v>
      </c>
      <c r="D13" s="21">
        <v>46276</v>
      </c>
      <c r="E13" s="22">
        <v>46289</v>
      </c>
    </row>
    <row r="14" spans="1:83">
      <c r="A14" s="20" t="s">
        <v>56</v>
      </c>
      <c r="B14" s="5" t="s">
        <v>133</v>
      </c>
      <c r="C14" s="8">
        <v>5</v>
      </c>
      <c r="D14" s="21">
        <v>46282</v>
      </c>
      <c r="E14" s="22">
        <v>46288</v>
      </c>
    </row>
    <row r="15" spans="1:83">
      <c r="A15" s="20" t="s">
        <v>56</v>
      </c>
      <c r="B15" s="5" t="s">
        <v>134</v>
      </c>
      <c r="C15" s="8">
        <v>1.5</v>
      </c>
      <c r="D15" s="21">
        <v>46289</v>
      </c>
      <c r="E15" s="22">
        <v>46290</v>
      </c>
    </row>
    <row r="16" spans="1:83">
      <c r="A16" s="20" t="s">
        <v>56</v>
      </c>
      <c r="B16" s="5" t="s">
        <v>135</v>
      </c>
      <c r="C16" s="8">
        <v>8</v>
      </c>
      <c r="D16" s="21">
        <v>46286</v>
      </c>
      <c r="E16" s="22">
        <v>46295</v>
      </c>
    </row>
    <row r="17" spans="1:6">
      <c r="A17" s="18" t="s">
        <v>136</v>
      </c>
      <c r="B17" s="15"/>
      <c r="C17" s="15"/>
      <c r="D17" s="15"/>
      <c r="E17" s="16"/>
      <c r="F17" s="19"/>
    </row>
    <row r="18" spans="1:6">
      <c r="A18" s="20" t="s">
        <v>60</v>
      </c>
      <c r="B18" s="5" t="s">
        <v>137</v>
      </c>
      <c r="C18" s="8">
        <v>3</v>
      </c>
      <c r="D18" s="21">
        <v>46314</v>
      </c>
      <c r="E18" s="22">
        <v>46316</v>
      </c>
    </row>
    <row r="19" spans="1:6">
      <c r="A19" s="20" t="s">
        <v>60</v>
      </c>
      <c r="B19" s="5" t="s">
        <v>138</v>
      </c>
      <c r="C19" s="8">
        <v>5</v>
      </c>
      <c r="D19" s="21">
        <v>46290</v>
      </c>
      <c r="E19" s="22">
        <v>46308</v>
      </c>
    </row>
    <row r="20" spans="1:6">
      <c r="A20" s="20" t="s">
        <v>60</v>
      </c>
      <c r="B20" s="5" t="s">
        <v>139</v>
      </c>
      <c r="C20" s="8">
        <v>7.5</v>
      </c>
      <c r="D20" s="21">
        <v>46309</v>
      </c>
      <c r="E20" s="22">
        <v>46325</v>
      </c>
    </row>
    <row r="21" spans="1:6">
      <c r="A21" s="20" t="s">
        <v>60</v>
      </c>
      <c r="B21" s="5" t="s">
        <v>140</v>
      </c>
      <c r="C21" s="8">
        <v>11</v>
      </c>
      <c r="D21" s="21">
        <v>46307</v>
      </c>
      <c r="E21" s="22">
        <v>46328</v>
      </c>
    </row>
    <row r="22" spans="1:6">
      <c r="A22" s="20" t="s">
        <v>60</v>
      </c>
      <c r="B22" s="5" t="s">
        <v>141</v>
      </c>
      <c r="C22" s="8">
        <v>6</v>
      </c>
      <c r="D22" s="21">
        <v>46282</v>
      </c>
      <c r="E22" s="22">
        <v>46330</v>
      </c>
    </row>
    <row r="23" spans="1:6">
      <c r="A23" s="20" t="s">
        <v>60</v>
      </c>
      <c r="B23" s="5" t="s">
        <v>142</v>
      </c>
      <c r="C23" s="8">
        <v>2.5</v>
      </c>
      <c r="D23" s="21">
        <v>46314</v>
      </c>
      <c r="E23" s="22">
        <v>46318</v>
      </c>
    </row>
    <row r="24" spans="1:6">
      <c r="A24" s="18" t="s">
        <v>143</v>
      </c>
      <c r="B24" s="15"/>
      <c r="C24" s="15"/>
      <c r="D24" s="15"/>
      <c r="E24" s="16"/>
      <c r="F24" s="19"/>
    </row>
    <row r="25" spans="1:6">
      <c r="A25" s="20" t="s">
        <v>64</v>
      </c>
      <c r="B25" s="5" t="s">
        <v>144</v>
      </c>
      <c r="C25" s="8">
        <v>5</v>
      </c>
      <c r="D25" s="21">
        <v>46339</v>
      </c>
      <c r="E25" s="22">
        <v>46349</v>
      </c>
    </row>
    <row r="26" spans="1:6">
      <c r="A26" s="20" t="s">
        <v>64</v>
      </c>
      <c r="B26" s="5" t="s">
        <v>145</v>
      </c>
      <c r="C26" s="8">
        <v>6</v>
      </c>
      <c r="D26" s="21">
        <v>46342</v>
      </c>
      <c r="E26" s="22">
        <v>46350</v>
      </c>
    </row>
    <row r="27" spans="1:6">
      <c r="A27" s="20" t="s">
        <v>64</v>
      </c>
      <c r="B27" s="5" t="s">
        <v>146</v>
      </c>
      <c r="C27" s="8">
        <v>8</v>
      </c>
      <c r="D27" s="21">
        <v>46344</v>
      </c>
      <c r="E27" s="22">
        <v>46356</v>
      </c>
    </row>
    <row r="28" spans="1:6">
      <c r="A28" s="20" t="s">
        <v>64</v>
      </c>
      <c r="B28" s="5" t="s">
        <v>147</v>
      </c>
      <c r="C28" s="8">
        <v>1.5</v>
      </c>
      <c r="D28" s="21">
        <v>46346</v>
      </c>
      <c r="E28" s="22">
        <v>46349</v>
      </c>
    </row>
    <row r="29" spans="1:6">
      <c r="A29" s="18" t="s">
        <v>148</v>
      </c>
      <c r="B29" s="15"/>
      <c r="C29" s="15"/>
      <c r="D29" s="15"/>
      <c r="E29" s="16"/>
      <c r="F29" s="19"/>
    </row>
    <row r="30" spans="1:6">
      <c r="A30" s="20" t="s">
        <v>72</v>
      </c>
      <c r="B30" s="5" t="s">
        <v>149</v>
      </c>
      <c r="C30" s="8">
        <v>17</v>
      </c>
      <c r="D30" s="21">
        <v>46308</v>
      </c>
      <c r="E30" s="22">
        <v>46370</v>
      </c>
    </row>
    <row r="31" spans="1:6">
      <c r="A31" s="20" t="s">
        <v>72</v>
      </c>
      <c r="B31" s="5" t="s">
        <v>150</v>
      </c>
      <c r="C31" s="8">
        <v>13</v>
      </c>
      <c r="D31" s="21">
        <v>46308</v>
      </c>
      <c r="E31" s="22">
        <v>46367</v>
      </c>
    </row>
    <row r="32" spans="1:6">
      <c r="A32" s="20" t="s">
        <v>72</v>
      </c>
      <c r="B32" s="5" t="s">
        <v>151</v>
      </c>
      <c r="C32" s="8">
        <v>15</v>
      </c>
      <c r="D32" s="21">
        <v>46314</v>
      </c>
      <c r="E32" s="22">
        <v>46381</v>
      </c>
    </row>
  </sheetData>
  <mergeCells count="9">
    <mergeCell ref="F3:Z3"/>
    <mergeCell ref="AA3:AQ3"/>
    <mergeCell ref="AR3:BL3"/>
    <mergeCell ref="BM3:CE3"/>
    <mergeCell ref="A5:E5"/>
    <mergeCell ref="A9:E9"/>
    <mergeCell ref="A17:E17"/>
    <mergeCell ref="A24:E24"/>
    <mergeCell ref="A29:E29"/>
  </mergeCells>
  <conditionalFormatting sqref="F5:CE32">
    <cfRule type="expression" dxfId="0" priority="1">
      <formula>OR(F$4=DATE(2026,10,20),F$4=DATE(2026,11,24),F$4=DATE(2026,12,14),F$4=DATE(2026,12,25))</formula>
    </cfRule>
    <cfRule type="expression" dxfId="1" priority="2">
      <formula>F$4=TODAY()</formula>
    </cfRule>
  </conditionalFormatting>
  <conditionalFormatting sqref="F6:CE8">
    <cfRule type="expression" dxfId="2" priority="3">
      <formula>AND(F$4&lt;&gt;"",F$4&lt;=$E6,F$4&gt;=$D6)</formula>
    </cfRule>
  </conditionalFormatting>
  <conditionalFormatting sqref="F10:CE16">
    <cfRule type="expression" dxfId="3" priority="4">
      <formula>AND(F$4&lt;&gt;"",F$4&lt;=$E10,F$4&gt;=$D10)</formula>
    </cfRule>
  </conditionalFormatting>
  <conditionalFormatting sqref="F18:CE23">
    <cfRule type="expression" dxfId="4" priority="5">
      <formula>AND(F$4&lt;&gt;"",F$4&lt;=$E18,F$4&gt;=$D18)</formula>
    </cfRule>
  </conditionalFormatting>
  <conditionalFormatting sqref="F25:CE28">
    <cfRule type="expression" dxfId="5" priority="6">
      <formula>AND(F$4&lt;&gt;"",F$4&lt;=$E25,F$4&gt;=$D25)</formula>
    </cfRule>
  </conditionalFormatting>
  <conditionalFormatting sqref="F30:CE32">
    <cfRule type="expression" dxfId="6" priority="7">
      <formula>AND(F$4&lt;&gt;"",F$4&lt;=$E30,F$4&gt;=$D30)</formula>
    </cfRule>
  </conditionalFormatting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G77"/>
  <sheetViews>
    <sheetView workbookViewId="0">
      <pane xSplit="7" ySplit="4" topLeftCell="H5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4"/>
  <cols>
    <col min="1" max="1" width="6" customWidth="1"/>
    <col min="2" max="2" width="10" customWidth="1"/>
    <col min="3" max="3" width="40" customWidth="1"/>
    <col min="4" max="4" width="7" customWidth="1"/>
    <col min="5" max="5" width="6" customWidth="1"/>
    <col min="6" max="7" width="8" customWidth="1"/>
    <col min="8" max="85" width="2.63636363636364" customWidth="1"/>
  </cols>
  <sheetData>
    <row r="1" ht="16.5" spans="1:85">
      <c r="A1" s="1" t="s">
        <v>152</v>
      </c>
    </row>
    <row r="2" spans="1:85">
      <c r="A2" s="2" t="s">
        <v>115</v>
      </c>
    </row>
    <row r="3" ht="14.5" customHeight="1" spans="1:85">
      <c r="A3" s="13" t="s">
        <v>1</v>
      </c>
      <c r="B3" s="13" t="s">
        <v>153</v>
      </c>
      <c r="C3" s="13" t="s">
        <v>154</v>
      </c>
      <c r="D3" s="13" t="s">
        <v>47</v>
      </c>
      <c r="E3" s="13" t="s">
        <v>117</v>
      </c>
      <c r="F3" s="13" t="s">
        <v>118</v>
      </c>
      <c r="G3" s="13" t="s">
        <v>119</v>
      </c>
      <c r="H3" s="14" t="s">
        <v>120</v>
      </c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6"/>
      <c r="AC3" s="14" t="s">
        <v>121</v>
      </c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6"/>
      <c r="AT3" s="14" t="s">
        <v>122</v>
      </c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6"/>
      <c r="BO3" s="14" t="s">
        <v>123</v>
      </c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6"/>
    </row>
    <row r="4" spans="1:85">
      <c r="H4" s="17">
        <v>46267</v>
      </c>
      <c r="I4" s="17">
        <v>46268</v>
      </c>
      <c r="J4" s="17">
        <v>46269</v>
      </c>
      <c r="K4" s="17">
        <v>46272</v>
      </c>
      <c r="L4" s="17">
        <v>46273</v>
      </c>
      <c r="M4" s="17">
        <v>46274</v>
      </c>
      <c r="N4" s="17">
        <v>46275</v>
      </c>
      <c r="O4" s="17">
        <v>46276</v>
      </c>
      <c r="P4" s="17">
        <v>46279</v>
      </c>
      <c r="Q4" s="17">
        <v>46280</v>
      </c>
      <c r="R4" s="17">
        <v>46281</v>
      </c>
      <c r="S4" s="17">
        <v>46282</v>
      </c>
      <c r="T4" s="17">
        <v>46283</v>
      </c>
      <c r="U4" s="17">
        <v>46286</v>
      </c>
      <c r="V4" s="17">
        <v>46287</v>
      </c>
      <c r="W4" s="17">
        <v>46288</v>
      </c>
      <c r="X4" s="17">
        <v>46289</v>
      </c>
      <c r="Y4" s="17">
        <v>46290</v>
      </c>
      <c r="Z4" s="17">
        <v>46293</v>
      </c>
      <c r="AA4" s="17">
        <v>46294</v>
      </c>
      <c r="AB4" s="17">
        <v>46295</v>
      </c>
      <c r="AC4" s="17">
        <v>46303</v>
      </c>
      <c r="AD4" s="17">
        <v>46304</v>
      </c>
      <c r="AE4" s="17">
        <v>46307</v>
      </c>
      <c r="AF4" s="17">
        <v>46308</v>
      </c>
      <c r="AG4" s="17">
        <v>46309</v>
      </c>
      <c r="AH4" s="17">
        <v>46310</v>
      </c>
      <c r="AI4" s="17">
        <v>46311</v>
      </c>
      <c r="AJ4" s="17">
        <v>46314</v>
      </c>
      <c r="AK4" s="17">
        <v>46315</v>
      </c>
      <c r="AL4" s="17">
        <v>46316</v>
      </c>
      <c r="AM4" s="17">
        <v>46317</v>
      </c>
      <c r="AN4" s="17">
        <v>46318</v>
      </c>
      <c r="AO4" s="17">
        <v>46321</v>
      </c>
      <c r="AP4" s="17">
        <v>46322</v>
      </c>
      <c r="AQ4" s="17">
        <v>46323</v>
      </c>
      <c r="AR4" s="17">
        <v>46324</v>
      </c>
      <c r="AS4" s="17">
        <v>46325</v>
      </c>
      <c r="AT4" s="17">
        <v>46328</v>
      </c>
      <c r="AU4" s="17">
        <v>46329</v>
      </c>
      <c r="AV4" s="17">
        <v>46330</v>
      </c>
      <c r="AW4" s="17">
        <v>46331</v>
      </c>
      <c r="AX4" s="17">
        <v>46332</v>
      </c>
      <c r="AY4" s="17">
        <v>46335</v>
      </c>
      <c r="AZ4" s="17">
        <v>46336</v>
      </c>
      <c r="BA4" s="17">
        <v>46337</v>
      </c>
      <c r="BB4" s="17">
        <v>46338</v>
      </c>
      <c r="BC4" s="17">
        <v>46339</v>
      </c>
      <c r="BD4" s="17">
        <v>46342</v>
      </c>
      <c r="BE4" s="17">
        <v>46343</v>
      </c>
      <c r="BF4" s="17">
        <v>46344</v>
      </c>
      <c r="BG4" s="17">
        <v>46345</v>
      </c>
      <c r="BH4" s="17">
        <v>46346</v>
      </c>
      <c r="BI4" s="17">
        <v>46349</v>
      </c>
      <c r="BJ4" s="17">
        <v>46350</v>
      </c>
      <c r="BK4" s="17">
        <v>46351</v>
      </c>
      <c r="BL4" s="17">
        <v>46352</v>
      </c>
      <c r="BM4" s="17">
        <v>46353</v>
      </c>
      <c r="BN4" s="17">
        <v>46356</v>
      </c>
      <c r="BO4" s="17">
        <v>46357</v>
      </c>
      <c r="BP4" s="17">
        <v>46358</v>
      </c>
      <c r="BQ4" s="17">
        <v>46359</v>
      </c>
      <c r="BR4" s="17">
        <v>46360</v>
      </c>
      <c r="BS4" s="17">
        <v>46363</v>
      </c>
      <c r="BT4" s="17">
        <v>46364</v>
      </c>
      <c r="BU4" s="17">
        <v>46365</v>
      </c>
      <c r="BV4" s="17">
        <v>46366</v>
      </c>
      <c r="BW4" s="17">
        <v>46367</v>
      </c>
      <c r="BX4" s="17">
        <v>46370</v>
      </c>
      <c r="BY4" s="17">
        <v>46371</v>
      </c>
      <c r="BZ4" s="17">
        <v>46372</v>
      </c>
      <c r="CA4" s="17">
        <v>46373</v>
      </c>
      <c r="CB4" s="17">
        <v>46374</v>
      </c>
      <c r="CC4" s="17">
        <v>46377</v>
      </c>
      <c r="CD4" s="17">
        <v>46378</v>
      </c>
      <c r="CE4" s="17">
        <v>46379</v>
      </c>
      <c r="CF4" s="17">
        <v>46380</v>
      </c>
      <c r="CG4" s="17">
        <v>46381</v>
      </c>
    </row>
    <row r="5" spans="1:85">
      <c r="A5" s="18" t="s">
        <v>124</v>
      </c>
      <c r="B5" s="15"/>
      <c r="C5" s="15"/>
      <c r="D5" s="15"/>
      <c r="E5" s="15"/>
      <c r="F5" s="15"/>
      <c r="G5" s="16"/>
      <c r="H5" s="19"/>
    </row>
    <row r="6" spans="1:85">
      <c r="A6" s="20" t="s">
        <v>7</v>
      </c>
      <c r="B6" s="5" t="s">
        <v>75</v>
      </c>
      <c r="C6" s="5" t="s">
        <v>155</v>
      </c>
      <c r="D6" s="5" t="s">
        <v>52</v>
      </c>
      <c r="E6" s="8">
        <v>1.5</v>
      </c>
      <c r="F6" s="21">
        <v>46267</v>
      </c>
      <c r="G6" s="22">
        <v>46279</v>
      </c>
    </row>
    <row r="7" spans="1:85">
      <c r="A7" s="20" t="s">
        <v>7</v>
      </c>
      <c r="B7" s="5" t="s">
        <v>75</v>
      </c>
      <c r="C7" s="5" t="s">
        <v>156</v>
      </c>
      <c r="D7" s="5" t="s">
        <v>52</v>
      </c>
      <c r="E7" s="8">
        <v>2</v>
      </c>
      <c r="F7" s="21">
        <v>46274</v>
      </c>
      <c r="G7" s="22">
        <v>46280</v>
      </c>
    </row>
    <row r="8" spans="1:85">
      <c r="A8" s="20" t="s">
        <v>7</v>
      </c>
      <c r="B8" s="5" t="s">
        <v>75</v>
      </c>
      <c r="C8" s="5" t="s">
        <v>157</v>
      </c>
      <c r="D8" s="5" t="s">
        <v>52</v>
      </c>
      <c r="E8" s="8">
        <v>1.5</v>
      </c>
      <c r="F8" s="21">
        <v>46274</v>
      </c>
      <c r="G8" s="22">
        <v>46275</v>
      </c>
    </row>
    <row r="9" spans="1:85">
      <c r="A9" s="20" t="s">
        <v>7</v>
      </c>
      <c r="B9" s="5" t="s">
        <v>75</v>
      </c>
      <c r="C9" s="5" t="s">
        <v>158</v>
      </c>
      <c r="D9" s="5" t="s">
        <v>52</v>
      </c>
      <c r="E9" s="8">
        <v>1</v>
      </c>
      <c r="F9" s="21">
        <v>46276</v>
      </c>
      <c r="G9" s="22">
        <v>46283</v>
      </c>
    </row>
    <row r="10" spans="1:85">
      <c r="A10" s="20" t="s">
        <v>10</v>
      </c>
      <c r="B10" s="5" t="s">
        <v>75</v>
      </c>
      <c r="C10" s="5" t="s">
        <v>159</v>
      </c>
      <c r="D10" s="5" t="s">
        <v>52</v>
      </c>
      <c r="E10" s="8">
        <v>0.5</v>
      </c>
      <c r="F10" s="21">
        <v>46279</v>
      </c>
      <c r="G10" s="22">
        <v>46283</v>
      </c>
    </row>
    <row r="11" spans="1:85">
      <c r="A11" s="20" t="s">
        <v>10</v>
      </c>
      <c r="B11" s="5" t="s">
        <v>75</v>
      </c>
      <c r="C11" s="5" t="s">
        <v>160</v>
      </c>
      <c r="D11" s="5" t="s">
        <v>52</v>
      </c>
      <c r="E11" s="8">
        <v>0.5</v>
      </c>
      <c r="F11" s="21">
        <v>46283</v>
      </c>
      <c r="G11" s="22">
        <v>46283</v>
      </c>
    </row>
    <row r="12" spans="1:85">
      <c r="A12" s="20" t="s">
        <v>13</v>
      </c>
      <c r="B12" s="5" t="s">
        <v>75</v>
      </c>
      <c r="C12" s="5" t="s">
        <v>161</v>
      </c>
      <c r="D12" s="5" t="s">
        <v>52</v>
      </c>
      <c r="E12" s="8">
        <v>1.5</v>
      </c>
      <c r="F12" s="21">
        <v>46272</v>
      </c>
      <c r="G12" s="22">
        <v>46273</v>
      </c>
    </row>
    <row r="13" spans="1:85">
      <c r="A13" s="20" t="s">
        <v>13</v>
      </c>
      <c r="B13" s="5" t="s">
        <v>75</v>
      </c>
      <c r="C13" s="5" t="s">
        <v>162</v>
      </c>
      <c r="D13" s="5" t="s">
        <v>52</v>
      </c>
      <c r="E13" s="8">
        <v>0.75</v>
      </c>
      <c r="F13" s="21">
        <v>46274</v>
      </c>
      <c r="G13" s="22">
        <v>46274</v>
      </c>
    </row>
    <row r="14" spans="1:85">
      <c r="A14" s="20" t="s">
        <v>13</v>
      </c>
      <c r="B14" s="5" t="s">
        <v>75</v>
      </c>
      <c r="C14" s="5" t="s">
        <v>163</v>
      </c>
      <c r="D14" s="5" t="s">
        <v>52</v>
      </c>
      <c r="E14" s="8">
        <v>3.5</v>
      </c>
      <c r="F14" s="21">
        <v>46274</v>
      </c>
      <c r="G14" s="22">
        <v>46275</v>
      </c>
    </row>
    <row r="15" spans="1:85">
      <c r="A15" s="18" t="s">
        <v>164</v>
      </c>
      <c r="B15" s="15"/>
      <c r="C15" s="15"/>
      <c r="D15" s="15"/>
      <c r="E15" s="15"/>
      <c r="F15" s="15"/>
      <c r="G15" s="16"/>
      <c r="H15" s="19"/>
    </row>
    <row r="16" spans="1:85">
      <c r="A16" s="20" t="s">
        <v>13</v>
      </c>
      <c r="B16" s="5" t="s">
        <v>75</v>
      </c>
      <c r="C16" s="5" t="s">
        <v>165</v>
      </c>
      <c r="D16" s="5" t="s">
        <v>56</v>
      </c>
      <c r="E16" s="8">
        <v>0.5</v>
      </c>
      <c r="F16" s="21">
        <v>46293</v>
      </c>
      <c r="G16" s="22">
        <v>46293</v>
      </c>
    </row>
    <row r="17" spans="1:7">
      <c r="A17" s="20" t="s">
        <v>15</v>
      </c>
      <c r="B17" s="5" t="s">
        <v>166</v>
      </c>
      <c r="C17" s="5" t="s">
        <v>167</v>
      </c>
      <c r="D17" s="5" t="s">
        <v>56</v>
      </c>
      <c r="E17" s="8">
        <v>1.5</v>
      </c>
      <c r="F17" s="21">
        <v>46275</v>
      </c>
      <c r="G17" s="22">
        <v>46276</v>
      </c>
    </row>
    <row r="18" spans="1:7">
      <c r="A18" s="20" t="s">
        <v>15</v>
      </c>
      <c r="B18" s="5" t="s">
        <v>168</v>
      </c>
      <c r="C18" s="5" t="s">
        <v>169</v>
      </c>
      <c r="D18" s="5" t="s">
        <v>56</v>
      </c>
      <c r="E18" s="8">
        <v>2</v>
      </c>
      <c r="F18" s="21">
        <v>46279</v>
      </c>
      <c r="G18" s="22">
        <v>46280</v>
      </c>
    </row>
    <row r="19" spans="1:7">
      <c r="A19" s="20" t="s">
        <v>15</v>
      </c>
      <c r="B19" s="5" t="s">
        <v>170</v>
      </c>
      <c r="C19" s="5" t="s">
        <v>171</v>
      </c>
      <c r="D19" s="5" t="s">
        <v>56</v>
      </c>
      <c r="E19" s="8">
        <v>2</v>
      </c>
      <c r="F19" s="21">
        <v>46281</v>
      </c>
      <c r="G19" s="22">
        <v>46282</v>
      </c>
    </row>
    <row r="20" spans="1:7">
      <c r="A20" s="20" t="s">
        <v>15</v>
      </c>
      <c r="B20" s="5" t="s">
        <v>172</v>
      </c>
      <c r="C20" s="5" t="s">
        <v>173</v>
      </c>
      <c r="D20" s="5" t="s">
        <v>56</v>
      </c>
      <c r="E20" s="8">
        <v>1</v>
      </c>
      <c r="F20" s="21">
        <v>46283</v>
      </c>
      <c r="G20" s="22">
        <v>46283</v>
      </c>
    </row>
    <row r="21" spans="1:7">
      <c r="A21" s="20" t="s">
        <v>17</v>
      </c>
      <c r="B21" s="5" t="s">
        <v>174</v>
      </c>
      <c r="C21" s="5" t="s">
        <v>175</v>
      </c>
      <c r="D21" s="5" t="s">
        <v>56</v>
      </c>
      <c r="E21" s="8">
        <v>0.5</v>
      </c>
      <c r="F21" s="21">
        <v>46275</v>
      </c>
      <c r="G21" s="22">
        <v>46275</v>
      </c>
    </row>
    <row r="22" spans="1:7">
      <c r="A22" s="20" t="s">
        <v>17</v>
      </c>
      <c r="B22" s="5" t="s">
        <v>176</v>
      </c>
      <c r="C22" s="5" t="s">
        <v>177</v>
      </c>
      <c r="D22" s="5" t="s">
        <v>56</v>
      </c>
      <c r="E22" s="8">
        <v>1</v>
      </c>
      <c r="F22" s="21">
        <v>46276</v>
      </c>
      <c r="G22" s="22">
        <v>46276</v>
      </c>
    </row>
    <row r="23" spans="1:7">
      <c r="A23" s="20" t="s">
        <v>19</v>
      </c>
      <c r="B23" s="5" t="s">
        <v>178</v>
      </c>
      <c r="C23" s="5" t="s">
        <v>179</v>
      </c>
      <c r="D23" s="5" t="s">
        <v>56</v>
      </c>
      <c r="E23" s="8">
        <v>2</v>
      </c>
      <c r="F23" s="21">
        <v>46276</v>
      </c>
      <c r="G23" s="22">
        <v>46279</v>
      </c>
    </row>
    <row r="24" spans="1:7">
      <c r="A24" s="20" t="s">
        <v>19</v>
      </c>
      <c r="B24" s="5" t="s">
        <v>180</v>
      </c>
      <c r="C24" s="5" t="s">
        <v>181</v>
      </c>
      <c r="D24" s="5" t="s">
        <v>56</v>
      </c>
      <c r="E24" s="8">
        <v>3</v>
      </c>
      <c r="F24" s="21">
        <v>46280</v>
      </c>
      <c r="G24" s="22">
        <v>46281</v>
      </c>
    </row>
    <row r="25" spans="1:7">
      <c r="A25" s="20" t="s">
        <v>19</v>
      </c>
      <c r="B25" s="5" t="s">
        <v>182</v>
      </c>
      <c r="C25" s="5" t="s">
        <v>183</v>
      </c>
      <c r="D25" s="5" t="s">
        <v>56</v>
      </c>
      <c r="E25" s="8">
        <v>2</v>
      </c>
      <c r="F25" s="21">
        <v>46282</v>
      </c>
      <c r="G25" s="22">
        <v>46283</v>
      </c>
    </row>
    <row r="26" spans="1:7">
      <c r="A26" s="20" t="s">
        <v>19</v>
      </c>
      <c r="B26" s="5" t="s">
        <v>182</v>
      </c>
      <c r="C26" s="5" t="s">
        <v>184</v>
      </c>
      <c r="D26" s="5" t="s">
        <v>56</v>
      </c>
      <c r="E26" s="8">
        <v>1.5</v>
      </c>
      <c r="F26" s="21">
        <v>46286</v>
      </c>
      <c r="G26" s="22">
        <v>46287</v>
      </c>
    </row>
    <row r="27" spans="1:7">
      <c r="A27" s="20" t="s">
        <v>19</v>
      </c>
      <c r="B27" s="5" t="s">
        <v>182</v>
      </c>
      <c r="C27" s="5" t="s">
        <v>185</v>
      </c>
      <c r="D27" s="5" t="s">
        <v>56</v>
      </c>
      <c r="E27" s="8">
        <v>1.5</v>
      </c>
      <c r="F27" s="21">
        <v>46288</v>
      </c>
      <c r="G27" s="22">
        <v>46289</v>
      </c>
    </row>
    <row r="28" spans="1:7">
      <c r="A28" s="20" t="s">
        <v>19</v>
      </c>
      <c r="B28" s="5" t="s">
        <v>182</v>
      </c>
      <c r="C28" s="5" t="s">
        <v>186</v>
      </c>
      <c r="D28" s="5" t="s">
        <v>56</v>
      </c>
      <c r="E28" s="8">
        <v>1.5</v>
      </c>
      <c r="F28" s="21">
        <v>46290</v>
      </c>
      <c r="G28" s="22">
        <v>46293</v>
      </c>
    </row>
    <row r="29" spans="1:7">
      <c r="A29" s="20" t="s">
        <v>19</v>
      </c>
      <c r="B29" s="5" t="s">
        <v>182</v>
      </c>
      <c r="C29" s="5" t="s">
        <v>187</v>
      </c>
      <c r="D29" s="5" t="s">
        <v>56</v>
      </c>
      <c r="E29" s="8">
        <v>2.5</v>
      </c>
      <c r="F29" s="21">
        <v>46290</v>
      </c>
      <c r="G29" s="22">
        <v>46293</v>
      </c>
    </row>
    <row r="30" spans="1:7">
      <c r="A30" s="20" t="s">
        <v>25</v>
      </c>
      <c r="B30" s="5" t="s">
        <v>188</v>
      </c>
      <c r="C30" s="5" t="s">
        <v>189</v>
      </c>
      <c r="D30" s="5" t="s">
        <v>56</v>
      </c>
      <c r="E30" s="8">
        <v>2</v>
      </c>
      <c r="F30" s="21">
        <v>46276</v>
      </c>
      <c r="G30" s="22">
        <v>46279</v>
      </c>
    </row>
    <row r="31" spans="1:7">
      <c r="A31" s="20" t="s">
        <v>25</v>
      </c>
      <c r="B31" s="5" t="s">
        <v>190</v>
      </c>
      <c r="C31" s="5" t="s">
        <v>191</v>
      </c>
      <c r="D31" s="5" t="s">
        <v>56</v>
      </c>
      <c r="E31" s="8">
        <v>1</v>
      </c>
      <c r="F31" s="21">
        <v>46281</v>
      </c>
      <c r="G31" s="22">
        <v>46281</v>
      </c>
    </row>
    <row r="32" spans="1:7">
      <c r="A32" s="20" t="s">
        <v>25</v>
      </c>
      <c r="B32" s="5" t="s">
        <v>182</v>
      </c>
      <c r="C32" s="5" t="s">
        <v>192</v>
      </c>
      <c r="D32" s="5" t="s">
        <v>56</v>
      </c>
      <c r="E32" s="8">
        <v>1.5</v>
      </c>
      <c r="F32" s="21">
        <v>46288</v>
      </c>
      <c r="G32" s="22">
        <v>46289</v>
      </c>
    </row>
    <row r="33" spans="1:8">
      <c r="A33" s="20" t="s">
        <v>28</v>
      </c>
      <c r="B33" s="5" t="s">
        <v>193</v>
      </c>
      <c r="C33" s="5" t="s">
        <v>194</v>
      </c>
      <c r="D33" s="5" t="s">
        <v>56</v>
      </c>
      <c r="E33" s="8">
        <v>3</v>
      </c>
      <c r="F33" s="21">
        <v>46282</v>
      </c>
      <c r="G33" s="22">
        <v>46286</v>
      </c>
    </row>
    <row r="34" spans="1:8">
      <c r="A34" s="20" t="s">
        <v>28</v>
      </c>
      <c r="B34" s="5" t="s">
        <v>195</v>
      </c>
      <c r="C34" s="5" t="s">
        <v>196</v>
      </c>
      <c r="D34" s="5" t="s">
        <v>56</v>
      </c>
      <c r="E34" s="8">
        <v>1.5</v>
      </c>
      <c r="F34" s="21">
        <v>46287</v>
      </c>
      <c r="G34" s="22">
        <v>46288</v>
      </c>
    </row>
    <row r="35" spans="1:8">
      <c r="A35" s="20" t="s">
        <v>31</v>
      </c>
      <c r="B35" s="5" t="s">
        <v>197</v>
      </c>
      <c r="C35" s="5" t="s">
        <v>198</v>
      </c>
      <c r="D35" s="5" t="s">
        <v>56</v>
      </c>
      <c r="E35" s="8">
        <v>1.5</v>
      </c>
      <c r="F35" s="21">
        <v>46289</v>
      </c>
      <c r="G35" s="22">
        <v>46290</v>
      </c>
    </row>
    <row r="36" spans="1:8">
      <c r="A36" s="20" t="s">
        <v>33</v>
      </c>
      <c r="B36" s="5" t="s">
        <v>199</v>
      </c>
      <c r="C36" s="5" t="s">
        <v>200</v>
      </c>
      <c r="D36" s="5" t="s">
        <v>56</v>
      </c>
      <c r="E36" s="8">
        <v>2</v>
      </c>
      <c r="F36" s="21">
        <v>46286</v>
      </c>
      <c r="G36" s="22">
        <v>46287</v>
      </c>
    </row>
    <row r="37" spans="1:8">
      <c r="A37" s="20" t="s">
        <v>33</v>
      </c>
      <c r="B37" s="5" t="s">
        <v>201</v>
      </c>
      <c r="C37" s="5" t="s">
        <v>202</v>
      </c>
      <c r="D37" s="5" t="s">
        <v>56</v>
      </c>
      <c r="E37" s="8">
        <v>1</v>
      </c>
      <c r="F37" s="21">
        <v>46288</v>
      </c>
      <c r="G37" s="22">
        <v>46288</v>
      </c>
    </row>
    <row r="38" spans="1:8">
      <c r="A38" s="20" t="s">
        <v>33</v>
      </c>
      <c r="B38" s="5"/>
      <c r="C38" s="5"/>
      <c r="D38" s="5"/>
      <c r="E38" s="8"/>
      <c r="F38" s="21"/>
      <c r="G38" s="22"/>
    </row>
    <row r="39" spans="1:8">
      <c r="A39" s="20" t="s">
        <v>33</v>
      </c>
      <c r="B39" s="5" t="s">
        <v>203</v>
      </c>
      <c r="C39" s="5" t="s">
        <v>204</v>
      </c>
      <c r="D39" s="5" t="s">
        <v>56</v>
      </c>
      <c r="E39" s="8">
        <v>1.5</v>
      </c>
      <c r="F39" s="21">
        <v>46293</v>
      </c>
      <c r="G39" s="22">
        <v>46294</v>
      </c>
    </row>
    <row r="40" spans="1:8">
      <c r="A40" s="20" t="s">
        <v>33</v>
      </c>
      <c r="B40" s="5" t="s">
        <v>182</v>
      </c>
      <c r="C40" s="5" t="s">
        <v>205</v>
      </c>
      <c r="D40" s="5" t="s">
        <v>56</v>
      </c>
      <c r="E40" s="8">
        <v>1.5</v>
      </c>
      <c r="F40" s="21">
        <v>46294</v>
      </c>
      <c r="G40" s="22">
        <v>46295</v>
      </c>
    </row>
    <row r="41" spans="1:8">
      <c r="A41" s="18" t="s">
        <v>206</v>
      </c>
      <c r="B41" s="15"/>
      <c r="C41" s="15"/>
      <c r="D41" s="15"/>
      <c r="E41" s="15"/>
      <c r="F41" s="15"/>
      <c r="G41" s="16"/>
      <c r="H41" s="19"/>
    </row>
    <row r="42" spans="1:8">
      <c r="A42" s="20" t="s">
        <v>13</v>
      </c>
      <c r="B42" s="5" t="s">
        <v>75</v>
      </c>
      <c r="C42" s="5" t="s">
        <v>207</v>
      </c>
      <c r="D42" s="5" t="s">
        <v>60</v>
      </c>
      <c r="E42" s="8">
        <v>2.5</v>
      </c>
      <c r="F42" s="21">
        <v>46314</v>
      </c>
      <c r="G42" s="22">
        <v>46318</v>
      </c>
    </row>
    <row r="43" spans="1:8">
      <c r="A43" s="20" t="s">
        <v>13</v>
      </c>
      <c r="B43" s="5" t="s">
        <v>182</v>
      </c>
      <c r="C43" s="5" t="s">
        <v>208</v>
      </c>
      <c r="D43" s="5" t="s">
        <v>60</v>
      </c>
      <c r="E43" s="8"/>
      <c r="F43" s="21"/>
      <c r="G43" s="22"/>
    </row>
    <row r="44" spans="1:8">
      <c r="A44" s="20" t="s">
        <v>15</v>
      </c>
      <c r="B44" s="5" t="s">
        <v>209</v>
      </c>
      <c r="C44" s="5" t="s">
        <v>210</v>
      </c>
      <c r="D44" s="5" t="s">
        <v>60</v>
      </c>
      <c r="E44" s="8">
        <v>3</v>
      </c>
      <c r="F44" s="21">
        <v>46314</v>
      </c>
      <c r="G44" s="22">
        <v>46316</v>
      </c>
    </row>
    <row r="45" spans="1:8">
      <c r="A45" s="20" t="s">
        <v>17</v>
      </c>
      <c r="B45" s="5" t="s">
        <v>211</v>
      </c>
      <c r="C45" s="5" t="s">
        <v>212</v>
      </c>
      <c r="D45" s="5" t="s">
        <v>60</v>
      </c>
      <c r="E45" s="8">
        <v>1.5</v>
      </c>
      <c r="F45" s="21">
        <v>46290</v>
      </c>
      <c r="G45" s="22">
        <v>46293</v>
      </c>
    </row>
    <row r="46" spans="1:8">
      <c r="A46" s="20" t="s">
        <v>17</v>
      </c>
      <c r="B46" s="5" t="s">
        <v>213</v>
      </c>
      <c r="C46" s="5" t="s">
        <v>214</v>
      </c>
      <c r="D46" s="5" t="s">
        <v>60</v>
      </c>
      <c r="E46" s="8">
        <v>1.5</v>
      </c>
      <c r="F46" s="21">
        <v>46294</v>
      </c>
      <c r="G46" s="22">
        <v>46295</v>
      </c>
    </row>
    <row r="47" spans="1:8">
      <c r="A47" s="20" t="s">
        <v>17</v>
      </c>
      <c r="B47" s="5" t="s">
        <v>182</v>
      </c>
      <c r="C47" s="5" t="s">
        <v>215</v>
      </c>
      <c r="D47" s="5" t="s">
        <v>60</v>
      </c>
      <c r="E47" s="8">
        <v>2</v>
      </c>
      <c r="F47" s="21">
        <v>46304</v>
      </c>
      <c r="G47" s="22">
        <v>46308</v>
      </c>
    </row>
    <row r="48" spans="1:8">
      <c r="A48" s="20" t="s">
        <v>19</v>
      </c>
      <c r="B48" s="5" t="s">
        <v>216</v>
      </c>
      <c r="C48" s="5" t="s">
        <v>217</v>
      </c>
      <c r="D48" s="5" t="s">
        <v>60</v>
      </c>
      <c r="E48" s="8">
        <v>2</v>
      </c>
      <c r="F48" s="21">
        <v>46321</v>
      </c>
      <c r="G48" s="22">
        <v>46322</v>
      </c>
    </row>
    <row r="49" spans="1:8">
      <c r="A49" s="20" t="s">
        <v>19</v>
      </c>
      <c r="B49" s="5" t="s">
        <v>218</v>
      </c>
      <c r="C49" s="5" t="s">
        <v>219</v>
      </c>
      <c r="D49" s="5" t="s">
        <v>60</v>
      </c>
      <c r="E49" s="8">
        <v>2.5</v>
      </c>
      <c r="F49" s="21">
        <v>46323</v>
      </c>
      <c r="G49" s="22">
        <v>46325</v>
      </c>
    </row>
    <row r="50" spans="1:8">
      <c r="A50" s="20" t="s">
        <v>19</v>
      </c>
      <c r="B50" s="5" t="s">
        <v>220</v>
      </c>
      <c r="C50" s="5" t="s">
        <v>221</v>
      </c>
      <c r="D50" s="5" t="s">
        <v>60</v>
      </c>
      <c r="E50" s="8">
        <v>3</v>
      </c>
      <c r="F50" s="21">
        <v>46309</v>
      </c>
      <c r="G50" s="22">
        <v>46311</v>
      </c>
    </row>
    <row r="51" spans="1:8">
      <c r="A51" s="20" t="s">
        <v>22</v>
      </c>
      <c r="B51" s="5" t="s">
        <v>222</v>
      </c>
      <c r="C51" s="5" t="s">
        <v>223</v>
      </c>
      <c r="D51" s="5" t="s">
        <v>60</v>
      </c>
      <c r="E51" s="8">
        <v>3</v>
      </c>
      <c r="F51" s="21">
        <v>46307</v>
      </c>
      <c r="G51" s="22">
        <v>46310</v>
      </c>
    </row>
    <row r="52" spans="1:8">
      <c r="A52" s="20" t="s">
        <v>22</v>
      </c>
      <c r="B52" s="5" t="s">
        <v>224</v>
      </c>
      <c r="C52" s="5" t="s">
        <v>225</v>
      </c>
      <c r="D52" s="5" t="s">
        <v>60</v>
      </c>
      <c r="E52" s="8">
        <v>3</v>
      </c>
      <c r="F52" s="21">
        <v>46314</v>
      </c>
      <c r="G52" s="22">
        <v>46316</v>
      </c>
    </row>
    <row r="53" spans="1:8">
      <c r="A53" s="20" t="s">
        <v>22</v>
      </c>
      <c r="B53" s="5" t="s">
        <v>182</v>
      </c>
      <c r="C53" s="5" t="s">
        <v>226</v>
      </c>
      <c r="D53" s="5" t="s">
        <v>60</v>
      </c>
      <c r="E53" s="8">
        <v>2</v>
      </c>
      <c r="F53" s="21">
        <v>46321</v>
      </c>
      <c r="G53" s="22">
        <v>46323</v>
      </c>
    </row>
    <row r="54" spans="1:8">
      <c r="A54" s="20" t="s">
        <v>22</v>
      </c>
      <c r="B54" s="5" t="s">
        <v>182</v>
      </c>
      <c r="C54" s="5" t="s">
        <v>227</v>
      </c>
      <c r="D54" s="5" t="s">
        <v>60</v>
      </c>
      <c r="E54" s="8">
        <v>2.5</v>
      </c>
      <c r="F54" s="21">
        <v>46324</v>
      </c>
      <c r="G54" s="22">
        <v>46328</v>
      </c>
    </row>
    <row r="55" spans="1:8">
      <c r="A55" s="20" t="s">
        <v>28</v>
      </c>
      <c r="B55" s="5" t="s">
        <v>228</v>
      </c>
      <c r="C55" s="5" t="s">
        <v>229</v>
      </c>
      <c r="D55" s="5" t="s">
        <v>60</v>
      </c>
      <c r="E55" s="8">
        <v>2.5</v>
      </c>
      <c r="F55" s="21">
        <v>46282</v>
      </c>
      <c r="G55" s="22">
        <v>46287</v>
      </c>
    </row>
    <row r="56" spans="1:8">
      <c r="A56" s="20" t="s">
        <v>28</v>
      </c>
      <c r="B56" s="5" t="s">
        <v>230</v>
      </c>
      <c r="C56" s="5" t="s">
        <v>231</v>
      </c>
      <c r="D56" s="5" t="s">
        <v>60</v>
      </c>
      <c r="E56" s="8">
        <v>1.5</v>
      </c>
      <c r="F56" s="21">
        <v>46288</v>
      </c>
      <c r="G56" s="22">
        <v>46289</v>
      </c>
    </row>
    <row r="57" spans="1:8">
      <c r="A57" s="20" t="s">
        <v>28</v>
      </c>
      <c r="B57" s="5"/>
      <c r="C57" s="5"/>
      <c r="D57" s="5"/>
      <c r="E57" s="8"/>
      <c r="F57" s="21"/>
      <c r="G57" s="22"/>
    </row>
    <row r="58" spans="1:8">
      <c r="A58" s="18" t="s">
        <v>232</v>
      </c>
      <c r="B58" s="15"/>
      <c r="C58" s="15"/>
      <c r="D58" s="15"/>
      <c r="E58" s="15"/>
      <c r="F58" s="15"/>
      <c r="G58" s="16"/>
      <c r="H58" s="19"/>
    </row>
    <row r="59" spans="1:8">
      <c r="A59" s="20" t="s">
        <v>19</v>
      </c>
      <c r="B59" s="5" t="s">
        <v>182</v>
      </c>
      <c r="C59" s="5" t="s">
        <v>233</v>
      </c>
      <c r="D59" s="5" t="s">
        <v>64</v>
      </c>
      <c r="E59" s="8">
        <v>1.5</v>
      </c>
      <c r="F59" s="21">
        <v>46344</v>
      </c>
      <c r="G59" s="22">
        <v>46345</v>
      </c>
    </row>
    <row r="60" spans="1:8">
      <c r="A60" s="20" t="s">
        <v>19</v>
      </c>
      <c r="B60" s="5" t="s">
        <v>182</v>
      </c>
      <c r="C60" s="5" t="s">
        <v>234</v>
      </c>
      <c r="D60" s="5" t="s">
        <v>64</v>
      </c>
      <c r="E60" s="8">
        <v>1.5</v>
      </c>
      <c r="F60" s="21">
        <v>46346</v>
      </c>
      <c r="G60" s="22">
        <v>46349</v>
      </c>
    </row>
    <row r="61" spans="1:8">
      <c r="A61" s="20" t="s">
        <v>22</v>
      </c>
      <c r="B61" s="5" t="s">
        <v>182</v>
      </c>
      <c r="C61" s="5" t="s">
        <v>235</v>
      </c>
      <c r="D61" s="5" t="s">
        <v>64</v>
      </c>
      <c r="E61" s="8">
        <v>2</v>
      </c>
      <c r="F61" s="21">
        <v>46339</v>
      </c>
      <c r="G61" s="22">
        <v>46343</v>
      </c>
    </row>
    <row r="62" spans="1:8">
      <c r="A62" s="20" t="s">
        <v>25</v>
      </c>
      <c r="B62" s="5" t="s">
        <v>236</v>
      </c>
      <c r="C62" s="5" t="s">
        <v>237</v>
      </c>
      <c r="D62" s="5" t="s">
        <v>64</v>
      </c>
      <c r="E62" s="8">
        <v>4</v>
      </c>
      <c r="F62" s="21">
        <v>46344</v>
      </c>
      <c r="G62" s="22">
        <v>46350</v>
      </c>
    </row>
    <row r="63" spans="1:8">
      <c r="A63" s="20" t="s">
        <v>25</v>
      </c>
      <c r="B63" s="5" t="s">
        <v>238</v>
      </c>
      <c r="C63" s="5" t="s">
        <v>239</v>
      </c>
      <c r="D63" s="5" t="s">
        <v>64</v>
      </c>
      <c r="E63" s="8">
        <v>2</v>
      </c>
      <c r="F63" s="21">
        <v>46342</v>
      </c>
      <c r="G63" s="22">
        <v>46343</v>
      </c>
    </row>
    <row r="64" spans="1:8">
      <c r="A64" s="20" t="s">
        <v>28</v>
      </c>
      <c r="B64" s="5" t="s">
        <v>240</v>
      </c>
      <c r="C64" s="5" t="s">
        <v>241</v>
      </c>
      <c r="D64" s="5" t="s">
        <v>64</v>
      </c>
      <c r="E64" s="8">
        <v>1.5</v>
      </c>
      <c r="F64" s="21">
        <v>46344</v>
      </c>
      <c r="G64" s="22">
        <v>46345</v>
      </c>
    </row>
    <row r="65" spans="1:8">
      <c r="A65" s="20" t="s">
        <v>28</v>
      </c>
      <c r="B65" s="5" t="s">
        <v>242</v>
      </c>
      <c r="C65" s="5" t="s">
        <v>243</v>
      </c>
      <c r="D65" s="5" t="s">
        <v>64</v>
      </c>
      <c r="E65" s="8">
        <v>4</v>
      </c>
      <c r="F65" s="21">
        <v>46350</v>
      </c>
      <c r="G65" s="22">
        <v>46356</v>
      </c>
    </row>
    <row r="66" spans="1:8">
      <c r="A66" s="20" t="s">
        <v>28</v>
      </c>
      <c r="B66" s="5" t="s">
        <v>244</v>
      </c>
      <c r="C66" s="5" t="s">
        <v>245</v>
      </c>
      <c r="D66" s="5" t="s">
        <v>64</v>
      </c>
      <c r="E66" s="8">
        <v>2.5</v>
      </c>
      <c r="F66" s="21">
        <v>46350</v>
      </c>
      <c r="G66" s="22">
        <v>46352</v>
      </c>
    </row>
    <row r="67" spans="1:8">
      <c r="A67" s="20" t="s">
        <v>31</v>
      </c>
      <c r="B67" s="5" t="s">
        <v>246</v>
      </c>
      <c r="C67" s="5" t="s">
        <v>247</v>
      </c>
      <c r="D67" s="5" t="s">
        <v>64</v>
      </c>
      <c r="E67" s="8">
        <v>0.5</v>
      </c>
      <c r="F67" s="21">
        <v>46346</v>
      </c>
      <c r="G67" s="22">
        <v>46346</v>
      </c>
    </row>
    <row r="68" spans="1:8">
      <c r="A68" s="20" t="s">
        <v>31</v>
      </c>
      <c r="B68" s="5"/>
      <c r="C68" s="5"/>
      <c r="D68" s="5"/>
      <c r="E68" s="8"/>
      <c r="F68" s="21"/>
      <c r="G68" s="22"/>
    </row>
    <row r="69" spans="1:8">
      <c r="A69" s="18" t="s">
        <v>148</v>
      </c>
      <c r="B69" s="15"/>
      <c r="C69" s="15"/>
      <c r="D69" s="15"/>
      <c r="E69" s="15"/>
      <c r="F69" s="15"/>
      <c r="G69" s="16"/>
      <c r="H69" s="19"/>
    </row>
    <row r="70" spans="1:8">
      <c r="A70" s="20" t="s">
        <v>36</v>
      </c>
      <c r="B70" s="5" t="s">
        <v>75</v>
      </c>
      <c r="C70" s="5" t="s">
        <v>248</v>
      </c>
      <c r="D70" s="5" t="s">
        <v>72</v>
      </c>
      <c r="E70" s="8">
        <v>10</v>
      </c>
      <c r="F70" s="21">
        <v>46308</v>
      </c>
      <c r="G70" s="22">
        <v>46367</v>
      </c>
    </row>
    <row r="71" spans="1:8">
      <c r="A71" s="20" t="s">
        <v>36</v>
      </c>
      <c r="B71" s="5" t="s">
        <v>75</v>
      </c>
      <c r="C71" s="5" t="s">
        <v>249</v>
      </c>
      <c r="D71" s="5" t="s">
        <v>72</v>
      </c>
      <c r="E71" s="8">
        <v>7</v>
      </c>
      <c r="F71" s="21">
        <v>46314</v>
      </c>
      <c r="G71" s="22">
        <v>46370</v>
      </c>
    </row>
    <row r="72" spans="1:8">
      <c r="A72" s="20" t="s">
        <v>39</v>
      </c>
      <c r="B72" s="5" t="s">
        <v>75</v>
      </c>
      <c r="C72" s="5" t="s">
        <v>250</v>
      </c>
      <c r="D72" s="5" t="s">
        <v>72</v>
      </c>
      <c r="E72" s="8">
        <v>4</v>
      </c>
      <c r="F72" s="21">
        <v>46308</v>
      </c>
      <c r="G72" s="22">
        <v>46365</v>
      </c>
    </row>
    <row r="73" spans="1:8">
      <c r="A73" s="20" t="s">
        <v>39</v>
      </c>
      <c r="B73" s="5" t="s">
        <v>75</v>
      </c>
      <c r="C73" s="5" t="s">
        <v>251</v>
      </c>
      <c r="D73" s="5" t="s">
        <v>72</v>
      </c>
      <c r="E73" s="8">
        <v>6</v>
      </c>
      <c r="F73" s="21">
        <v>46311</v>
      </c>
      <c r="G73" s="22">
        <v>46366</v>
      </c>
    </row>
    <row r="74" spans="1:8">
      <c r="A74" s="20" t="s">
        <v>39</v>
      </c>
      <c r="B74" s="5" t="s">
        <v>75</v>
      </c>
      <c r="C74" s="5" t="s">
        <v>252</v>
      </c>
      <c r="D74" s="5" t="s">
        <v>72</v>
      </c>
      <c r="E74" s="8">
        <v>3</v>
      </c>
      <c r="F74" s="21">
        <v>46314</v>
      </c>
      <c r="G74" s="22">
        <v>46367</v>
      </c>
    </row>
    <row r="75" spans="1:8">
      <c r="A75" s="20" t="s">
        <v>42</v>
      </c>
      <c r="B75" s="5" t="s">
        <v>75</v>
      </c>
      <c r="C75" s="5" t="s">
        <v>253</v>
      </c>
      <c r="D75" s="5" t="s">
        <v>72</v>
      </c>
      <c r="E75" s="8">
        <v>3</v>
      </c>
      <c r="F75" s="21">
        <v>46314</v>
      </c>
      <c r="G75" s="22">
        <v>46367</v>
      </c>
    </row>
    <row r="76" spans="1:8">
      <c r="A76" s="20" t="s">
        <v>42</v>
      </c>
      <c r="B76" s="5" t="s">
        <v>75</v>
      </c>
      <c r="C76" s="5" t="s">
        <v>254</v>
      </c>
      <c r="D76" s="5" t="s">
        <v>72</v>
      </c>
      <c r="E76" s="8">
        <v>5</v>
      </c>
      <c r="F76" s="21">
        <v>46315</v>
      </c>
      <c r="G76" s="22">
        <v>46370</v>
      </c>
    </row>
    <row r="77" spans="1:8">
      <c r="A77" s="20" t="s">
        <v>42</v>
      </c>
      <c r="B77" s="5" t="s">
        <v>75</v>
      </c>
      <c r="C77" s="5" t="s">
        <v>255</v>
      </c>
      <c r="D77" s="5" t="s">
        <v>72</v>
      </c>
      <c r="E77" s="8">
        <v>7</v>
      </c>
      <c r="F77" s="21">
        <v>46315</v>
      </c>
      <c r="G77" s="22">
        <v>46381</v>
      </c>
    </row>
  </sheetData>
  <mergeCells count="9">
    <mergeCell ref="H3:AB3"/>
    <mergeCell ref="AC3:AS3"/>
    <mergeCell ref="AT3:BN3"/>
    <mergeCell ref="BO3:CG3"/>
    <mergeCell ref="A5:G5"/>
    <mergeCell ref="A15:G15"/>
    <mergeCell ref="A41:G41"/>
    <mergeCell ref="A58:G58"/>
    <mergeCell ref="A69:G69"/>
  </mergeCells>
  <conditionalFormatting sqref="H5:CG77">
    <cfRule type="expression" dxfId="0" priority="1">
      <formula>OR(H$4=DATE(2026,10,20),H$4=DATE(2026,11,24),H$4=DATE(2026,12,14),H$4=DATE(2026,12,25))</formula>
    </cfRule>
    <cfRule type="expression" dxfId="1" priority="2">
      <formula>H$4=TODAY()</formula>
    </cfRule>
  </conditionalFormatting>
  <conditionalFormatting sqref="H6:CG14">
    <cfRule type="expression" dxfId="2" priority="3">
      <formula>AND(H$4&lt;&gt;"",H$4&lt;=$G6,H$4&gt;=$F6)</formula>
    </cfRule>
  </conditionalFormatting>
  <conditionalFormatting sqref="H16:CG40">
    <cfRule type="expression" dxfId="3" priority="4">
      <formula>AND(H$4&lt;&gt;"",H$4&lt;=$G16,H$4&gt;=$F16)</formula>
    </cfRule>
  </conditionalFormatting>
  <conditionalFormatting sqref="H42:CG57">
    <cfRule type="expression" dxfId="4" priority="5">
      <formula>AND(H$4&lt;&gt;"",H$4&lt;=$G42,H$4&gt;=$F42)</formula>
    </cfRule>
  </conditionalFormatting>
  <conditionalFormatting sqref="H59:CG68">
    <cfRule type="expression" dxfId="5" priority="6">
      <formula>AND(H$4&lt;&gt;"",H$4&lt;=$G59,H$4&gt;=$F59)</formula>
    </cfRule>
  </conditionalFormatting>
  <conditionalFormatting sqref="H70:CG77">
    <cfRule type="expression" dxfId="6" priority="7">
      <formula>AND(H$4&lt;&gt;"",H$4&lt;=$G70,H$4&gt;=$F70)</formula>
    </cfRule>
  </conditionalFormatting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1"/>
  <sheetViews>
    <sheetView workbookViewId="0">
      <pane ySplit="3" topLeftCell="A52" activePane="bottomLeft" state="frozen"/>
      <selection/>
      <selection pane="bottomLeft" activeCell="L70" sqref="L70"/>
    </sheetView>
  </sheetViews>
  <sheetFormatPr defaultColWidth="9" defaultRowHeight="14"/>
  <cols>
    <col min="1" max="1" width="6" customWidth="1"/>
    <col min="2" max="2" width="15" customWidth="1"/>
    <col min="3" max="3" width="11" customWidth="1"/>
    <col min="4" max="4" width="38" customWidth="1"/>
    <col min="5" max="5" width="6" customWidth="1"/>
    <col min="6" max="6" width="26" customWidth="1"/>
    <col min="7" max="7" width="7" customWidth="1"/>
    <col min="8" max="8" width="13" customWidth="1"/>
    <col min="9" max="9" width="12" customWidth="1"/>
    <col min="10" max="10" width="9" customWidth="1"/>
    <col min="11" max="11" width="12" customWidth="1"/>
    <col min="12" max="12" width="13" customWidth="1"/>
    <col min="13" max="13" width="34" customWidth="1"/>
  </cols>
  <sheetData>
    <row r="1" ht="16.5" spans="1:13">
      <c r="A1" s="1" t="s">
        <v>256</v>
      </c>
    </row>
    <row r="2" spans="1:13">
      <c r="A2" s="2" t="s">
        <v>257</v>
      </c>
    </row>
    <row r="3" ht="39" spans="1:13">
      <c r="A3" s="3" t="s">
        <v>1</v>
      </c>
      <c r="B3" s="3" t="s">
        <v>2</v>
      </c>
      <c r="C3" s="3" t="s">
        <v>153</v>
      </c>
      <c r="D3" s="3" t="s">
        <v>154</v>
      </c>
      <c r="E3" s="3" t="s">
        <v>258</v>
      </c>
      <c r="F3" s="3" t="s">
        <v>259</v>
      </c>
      <c r="G3" s="3" t="s">
        <v>47</v>
      </c>
      <c r="H3" s="3" t="s">
        <v>117</v>
      </c>
      <c r="I3" s="3" t="s">
        <v>260</v>
      </c>
      <c r="J3" s="3" t="s">
        <v>261</v>
      </c>
      <c r="K3" s="3" t="s">
        <v>262</v>
      </c>
      <c r="L3" s="3" t="s">
        <v>263</v>
      </c>
      <c r="M3" s="3" t="s">
        <v>264</v>
      </c>
    </row>
    <row r="4" ht="36" spans="1:13">
      <c r="A4" s="4" t="s">
        <v>7</v>
      </c>
      <c r="B4" s="5" t="s">
        <v>8</v>
      </c>
      <c r="C4" s="6" t="s">
        <v>75</v>
      </c>
      <c r="D4" s="6" t="s">
        <v>265</v>
      </c>
      <c r="E4" s="5" t="s">
        <v>266</v>
      </c>
      <c r="F4" s="6" t="s">
        <v>267</v>
      </c>
      <c r="G4" s="7" t="s">
        <v>52</v>
      </c>
      <c r="H4" s="8">
        <v>1.5</v>
      </c>
      <c r="I4" s="8">
        <f>H4*(1+汇总!$C$46)</f>
        <v>1.725</v>
      </c>
      <c r="J4" s="5" t="s">
        <v>268</v>
      </c>
      <c r="K4" s="9">
        <v>46267</v>
      </c>
      <c r="L4" s="9">
        <v>46279</v>
      </c>
      <c r="M4" s="6" t="s">
        <v>269</v>
      </c>
    </row>
    <row r="5" ht="36" spans="1:13">
      <c r="A5" s="4" t="s">
        <v>7</v>
      </c>
      <c r="B5" s="5" t="s">
        <v>8</v>
      </c>
      <c r="C5" s="6" t="s">
        <v>75</v>
      </c>
      <c r="D5" s="6" t="s">
        <v>270</v>
      </c>
      <c r="E5" s="5" t="s">
        <v>266</v>
      </c>
      <c r="F5" s="6" t="s">
        <v>75</v>
      </c>
      <c r="G5" s="7" t="s">
        <v>52</v>
      </c>
      <c r="H5" s="8">
        <v>2</v>
      </c>
      <c r="I5" s="8">
        <f>H5*(1+汇总!$C$46)</f>
        <v>2.3</v>
      </c>
      <c r="J5" s="5" t="s">
        <v>268</v>
      </c>
      <c r="K5" s="9">
        <v>46274</v>
      </c>
      <c r="L5" s="9">
        <v>46280</v>
      </c>
      <c r="M5" s="6" t="s">
        <v>271</v>
      </c>
    </row>
    <row r="6" ht="24" spans="1:13">
      <c r="A6" s="4" t="s">
        <v>7</v>
      </c>
      <c r="B6" s="5" t="s">
        <v>8</v>
      </c>
      <c r="C6" s="6" t="s">
        <v>75</v>
      </c>
      <c r="D6" s="6" t="s">
        <v>157</v>
      </c>
      <c r="E6" s="5" t="s">
        <v>272</v>
      </c>
      <c r="F6" s="6" t="s">
        <v>267</v>
      </c>
      <c r="G6" s="7" t="s">
        <v>52</v>
      </c>
      <c r="H6" s="8">
        <v>1.5</v>
      </c>
      <c r="I6" s="8">
        <f>H6*(1+汇总!$C$46)</f>
        <v>1.725</v>
      </c>
      <c r="J6" s="5" t="s">
        <v>268</v>
      </c>
      <c r="K6" s="9">
        <v>46274</v>
      </c>
      <c r="L6" s="9">
        <v>46275</v>
      </c>
      <c r="M6" s="6" t="s">
        <v>273</v>
      </c>
    </row>
    <row r="7" ht="36" spans="1:13">
      <c r="A7" s="4" t="s">
        <v>7</v>
      </c>
      <c r="B7" s="5" t="s">
        <v>8</v>
      </c>
      <c r="C7" s="6" t="s">
        <v>75</v>
      </c>
      <c r="D7" s="6" t="s">
        <v>158</v>
      </c>
      <c r="E7" s="5" t="s">
        <v>272</v>
      </c>
      <c r="F7" s="6" t="s">
        <v>267</v>
      </c>
      <c r="G7" s="7" t="s">
        <v>52</v>
      </c>
      <c r="H7" s="8">
        <v>1</v>
      </c>
      <c r="I7" s="8">
        <f>H7*(1+汇总!$C$46)</f>
        <v>1.15</v>
      </c>
      <c r="J7" s="5" t="s">
        <v>268</v>
      </c>
      <c r="K7" s="9">
        <v>46276</v>
      </c>
      <c r="L7" s="9">
        <v>46283</v>
      </c>
      <c r="M7" s="6" t="s">
        <v>274</v>
      </c>
    </row>
    <row r="8" ht="36" spans="1:13">
      <c r="A8" s="4" t="s">
        <v>10</v>
      </c>
      <c r="B8" s="5" t="s">
        <v>11</v>
      </c>
      <c r="C8" s="6" t="s">
        <v>75</v>
      </c>
      <c r="D8" s="6" t="s">
        <v>159</v>
      </c>
      <c r="E8" s="5" t="s">
        <v>275</v>
      </c>
      <c r="F8" s="6" t="s">
        <v>276</v>
      </c>
      <c r="G8" s="7" t="s">
        <v>52</v>
      </c>
      <c r="H8" s="8">
        <v>0.5</v>
      </c>
      <c r="I8" s="8">
        <f>H8*(1+汇总!$C$46)</f>
        <v>0.575</v>
      </c>
      <c r="J8" s="5" t="s">
        <v>268</v>
      </c>
      <c r="K8" s="9">
        <v>46279</v>
      </c>
      <c r="L8" s="9">
        <v>46283</v>
      </c>
      <c r="M8" s="6" t="s">
        <v>277</v>
      </c>
    </row>
    <row r="9" ht="36" spans="1:13">
      <c r="A9" s="4" t="s">
        <v>10</v>
      </c>
      <c r="B9" s="5" t="s">
        <v>11</v>
      </c>
      <c r="C9" s="6" t="s">
        <v>75</v>
      </c>
      <c r="D9" s="6" t="s">
        <v>160</v>
      </c>
      <c r="E9" s="5" t="s">
        <v>275</v>
      </c>
      <c r="F9" s="6" t="s">
        <v>278</v>
      </c>
      <c r="G9" s="7" t="s">
        <v>52</v>
      </c>
      <c r="H9" s="8">
        <v>0.5</v>
      </c>
      <c r="I9" s="8">
        <f>H9*(1+汇总!$C$46)</f>
        <v>0.575</v>
      </c>
      <c r="J9" s="5" t="s">
        <v>268</v>
      </c>
      <c r="K9" s="9">
        <v>46283</v>
      </c>
      <c r="L9" s="9">
        <v>46283</v>
      </c>
      <c r="M9" s="6" t="s">
        <v>279</v>
      </c>
    </row>
    <row r="10" ht="24" spans="1:13">
      <c r="A10" s="4" t="s">
        <v>13</v>
      </c>
      <c r="B10" s="5" t="s">
        <v>14</v>
      </c>
      <c r="C10" s="6" t="s">
        <v>75</v>
      </c>
      <c r="D10" s="6" t="s">
        <v>161</v>
      </c>
      <c r="E10" s="5" t="s">
        <v>280</v>
      </c>
      <c r="F10" s="6" t="s">
        <v>75</v>
      </c>
      <c r="G10" s="7" t="s">
        <v>52</v>
      </c>
      <c r="H10" s="8">
        <v>1.5</v>
      </c>
      <c r="I10" s="8">
        <f>H10*(1+汇总!$C$46)</f>
        <v>1.725</v>
      </c>
      <c r="J10" s="5" t="s">
        <v>281</v>
      </c>
      <c r="K10" s="9">
        <v>46272</v>
      </c>
      <c r="L10" s="9">
        <v>46273</v>
      </c>
      <c r="M10" s="6" t="s">
        <v>282</v>
      </c>
    </row>
    <row r="11" ht="36" spans="1:13">
      <c r="A11" s="4" t="s">
        <v>13</v>
      </c>
      <c r="B11" s="5" t="s">
        <v>14</v>
      </c>
      <c r="C11" s="6" t="s">
        <v>75</v>
      </c>
      <c r="D11" s="6" t="s">
        <v>162</v>
      </c>
      <c r="E11" s="5" t="s">
        <v>280</v>
      </c>
      <c r="F11" s="6" t="s">
        <v>283</v>
      </c>
      <c r="G11" s="7" t="s">
        <v>52</v>
      </c>
      <c r="H11" s="8">
        <v>0.75</v>
      </c>
      <c r="I11" s="8">
        <f>H11*(1+汇总!$C$46)</f>
        <v>0.8625</v>
      </c>
      <c r="J11" s="5" t="s">
        <v>281</v>
      </c>
      <c r="K11" s="9">
        <v>46274</v>
      </c>
      <c r="L11" s="9">
        <v>46274</v>
      </c>
      <c r="M11" s="6" t="s">
        <v>284</v>
      </c>
    </row>
    <row r="12" ht="36" spans="1:13">
      <c r="A12" s="4" t="s">
        <v>13</v>
      </c>
      <c r="B12" s="5" t="s">
        <v>14</v>
      </c>
      <c r="C12" s="6" t="s">
        <v>75</v>
      </c>
      <c r="D12" s="6" t="s">
        <v>163</v>
      </c>
      <c r="E12" s="5" t="s">
        <v>280</v>
      </c>
      <c r="F12" s="6" t="s">
        <v>285</v>
      </c>
      <c r="G12" s="7" t="s">
        <v>52</v>
      </c>
      <c r="H12" s="8">
        <v>3.5</v>
      </c>
      <c r="I12" s="8">
        <f>H12*(1+汇总!$C$46)</f>
        <v>4.025</v>
      </c>
      <c r="J12" s="5" t="s">
        <v>281</v>
      </c>
      <c r="K12" s="9">
        <v>46274</v>
      </c>
      <c r="L12" s="9">
        <v>46275</v>
      </c>
      <c r="M12" s="6" t="s">
        <v>286</v>
      </c>
    </row>
    <row r="13" ht="24" spans="1:13">
      <c r="A13" s="4" t="s">
        <v>13</v>
      </c>
      <c r="B13" s="5" t="s">
        <v>14</v>
      </c>
      <c r="C13" s="6" t="s">
        <v>75</v>
      </c>
      <c r="D13" s="6" t="s">
        <v>165</v>
      </c>
      <c r="E13" s="5" t="s">
        <v>280</v>
      </c>
      <c r="F13" s="6" t="s">
        <v>287</v>
      </c>
      <c r="G13" s="10" t="s">
        <v>56</v>
      </c>
      <c r="H13" s="8">
        <v>0.5</v>
      </c>
      <c r="I13" s="8">
        <f>H13*(1+汇总!$C$46)</f>
        <v>0.575</v>
      </c>
      <c r="J13" s="5" t="s">
        <v>281</v>
      </c>
      <c r="K13" s="9">
        <v>46293</v>
      </c>
      <c r="L13" s="9">
        <v>46293</v>
      </c>
      <c r="M13" s="6" t="s">
        <v>288</v>
      </c>
    </row>
    <row r="14" ht="24" spans="1:13">
      <c r="A14" s="4" t="s">
        <v>13</v>
      </c>
      <c r="B14" s="5" t="s">
        <v>14</v>
      </c>
      <c r="C14" s="6" t="s">
        <v>75</v>
      </c>
      <c r="D14" s="6" t="s">
        <v>207</v>
      </c>
      <c r="E14" s="5" t="s">
        <v>280</v>
      </c>
      <c r="F14" s="6" t="s">
        <v>289</v>
      </c>
      <c r="G14" s="11" t="s">
        <v>60</v>
      </c>
      <c r="H14" s="8">
        <v>2.5</v>
      </c>
      <c r="I14" s="8">
        <f>H14*(1+汇总!$C$46)</f>
        <v>2.875</v>
      </c>
      <c r="J14" s="5" t="s">
        <v>281</v>
      </c>
      <c r="K14" s="9">
        <v>46314</v>
      </c>
      <c r="L14" s="9">
        <v>46318</v>
      </c>
      <c r="M14" s="6" t="s">
        <v>290</v>
      </c>
    </row>
    <row r="15" ht="24" spans="1:13">
      <c r="A15" s="4" t="s">
        <v>13</v>
      </c>
      <c r="B15" s="5" t="s">
        <v>14</v>
      </c>
      <c r="C15" s="6" t="s">
        <v>182</v>
      </c>
      <c r="D15" s="6" t="s">
        <v>291</v>
      </c>
      <c r="E15" s="5" t="s">
        <v>280</v>
      </c>
      <c r="F15" s="6" t="s">
        <v>292</v>
      </c>
      <c r="G15" s="11" t="s">
        <v>60</v>
      </c>
      <c r="H15" s="8"/>
      <c r="I15" s="8">
        <f>H15*(1+汇总!$C$46)</f>
        <v>0</v>
      </c>
      <c r="J15" s="5" t="s">
        <v>281</v>
      </c>
      <c r="K15" s="9"/>
      <c r="L15" s="9"/>
      <c r="M15" s="6" t="s">
        <v>293</v>
      </c>
    </row>
    <row r="16" spans="1:13">
      <c r="A16" s="4" t="s">
        <v>15</v>
      </c>
      <c r="B16" s="5" t="s">
        <v>16</v>
      </c>
      <c r="C16" s="6" t="s">
        <v>166</v>
      </c>
      <c r="D16" s="6" t="s">
        <v>167</v>
      </c>
      <c r="E16" s="5" t="s">
        <v>280</v>
      </c>
      <c r="F16" s="6" t="s">
        <v>294</v>
      </c>
      <c r="G16" s="10" t="s">
        <v>56</v>
      </c>
      <c r="H16" s="8">
        <v>1.5</v>
      </c>
      <c r="I16" s="8">
        <f>H16*(1+汇总!$C$46)</f>
        <v>1.725</v>
      </c>
      <c r="J16" s="5" t="s">
        <v>281</v>
      </c>
      <c r="K16" s="9">
        <v>46275</v>
      </c>
      <c r="L16" s="9">
        <v>46276</v>
      </c>
      <c r="M16" s="6"/>
    </row>
    <row r="17" ht="24" spans="1:13">
      <c r="A17" s="4" t="s">
        <v>15</v>
      </c>
      <c r="B17" s="5" t="s">
        <v>16</v>
      </c>
      <c r="C17" s="6" t="s">
        <v>168</v>
      </c>
      <c r="D17" s="6" t="s">
        <v>169</v>
      </c>
      <c r="E17" s="5" t="s">
        <v>280</v>
      </c>
      <c r="F17" s="6" t="s">
        <v>295</v>
      </c>
      <c r="G17" s="10" t="s">
        <v>56</v>
      </c>
      <c r="H17" s="8">
        <v>2</v>
      </c>
      <c r="I17" s="8">
        <f>H17*(1+汇总!$C$46)</f>
        <v>2.3</v>
      </c>
      <c r="J17" s="5" t="s">
        <v>281</v>
      </c>
      <c r="K17" s="9">
        <v>46279</v>
      </c>
      <c r="L17" s="9">
        <v>46280</v>
      </c>
      <c r="M17" s="6"/>
    </row>
    <row r="18" ht="36" spans="1:13">
      <c r="A18" s="4" t="s">
        <v>15</v>
      </c>
      <c r="B18" s="5" t="s">
        <v>16</v>
      </c>
      <c r="C18" s="6" t="s">
        <v>170</v>
      </c>
      <c r="D18" s="6" t="s">
        <v>296</v>
      </c>
      <c r="E18" s="5" t="s">
        <v>280</v>
      </c>
      <c r="F18" s="6" t="s">
        <v>297</v>
      </c>
      <c r="G18" s="10" t="s">
        <v>56</v>
      </c>
      <c r="H18" s="8">
        <v>2</v>
      </c>
      <c r="I18" s="8">
        <f>H18*(1+汇总!$C$46)</f>
        <v>2.3</v>
      </c>
      <c r="J18" s="5" t="s">
        <v>281</v>
      </c>
      <c r="K18" s="9">
        <v>46281</v>
      </c>
      <c r="L18" s="9">
        <v>46282</v>
      </c>
      <c r="M18" s="6" t="s">
        <v>298</v>
      </c>
    </row>
    <row r="19" ht="24" spans="1:13">
      <c r="A19" s="4" t="s">
        <v>15</v>
      </c>
      <c r="B19" s="5" t="s">
        <v>16</v>
      </c>
      <c r="C19" s="6" t="s">
        <v>209</v>
      </c>
      <c r="D19" s="6" t="s">
        <v>210</v>
      </c>
      <c r="E19" s="5" t="s">
        <v>280</v>
      </c>
      <c r="F19" s="6" t="s">
        <v>299</v>
      </c>
      <c r="G19" s="11" t="s">
        <v>60</v>
      </c>
      <c r="H19" s="8">
        <v>3</v>
      </c>
      <c r="I19" s="8">
        <f>H19*(1+汇总!$C$46)</f>
        <v>3.45</v>
      </c>
      <c r="J19" s="5" t="s">
        <v>281</v>
      </c>
      <c r="K19" s="9">
        <v>46314</v>
      </c>
      <c r="L19" s="9">
        <v>46316</v>
      </c>
      <c r="M19" s="6" t="s">
        <v>300</v>
      </c>
    </row>
    <row r="20" ht="24" spans="1:13">
      <c r="A20" s="4" t="s">
        <v>15</v>
      </c>
      <c r="B20" s="5" t="s">
        <v>16</v>
      </c>
      <c r="C20" s="6" t="s">
        <v>172</v>
      </c>
      <c r="D20" s="6" t="s">
        <v>301</v>
      </c>
      <c r="E20" s="5" t="s">
        <v>280</v>
      </c>
      <c r="F20" s="6" t="s">
        <v>302</v>
      </c>
      <c r="G20" s="10" t="s">
        <v>56</v>
      </c>
      <c r="H20" s="8">
        <v>1</v>
      </c>
      <c r="I20" s="8">
        <f>H20*(1+汇总!$C$46)</f>
        <v>1.15</v>
      </c>
      <c r="J20" s="5" t="s">
        <v>281</v>
      </c>
      <c r="K20" s="9">
        <v>46283</v>
      </c>
      <c r="L20" s="9">
        <v>46283</v>
      </c>
      <c r="M20" s="6" t="s">
        <v>303</v>
      </c>
    </row>
    <row r="21" spans="1:13">
      <c r="A21" s="4" t="s">
        <v>17</v>
      </c>
      <c r="B21" s="5" t="s">
        <v>18</v>
      </c>
      <c r="C21" s="6" t="s">
        <v>174</v>
      </c>
      <c r="D21" s="6" t="s">
        <v>175</v>
      </c>
      <c r="E21" s="5" t="s">
        <v>280</v>
      </c>
      <c r="F21" s="6" t="s">
        <v>304</v>
      </c>
      <c r="G21" s="10" t="s">
        <v>56</v>
      </c>
      <c r="H21" s="8">
        <v>0.5</v>
      </c>
      <c r="I21" s="8">
        <f>H21*(1+汇总!$C$46)</f>
        <v>0.575</v>
      </c>
      <c r="J21" s="5" t="s">
        <v>281</v>
      </c>
      <c r="K21" s="9">
        <v>46275</v>
      </c>
      <c r="L21" s="9">
        <v>46275</v>
      </c>
      <c r="M21" s="6"/>
    </row>
    <row r="22" ht="24" spans="1:13">
      <c r="A22" s="4" t="s">
        <v>17</v>
      </c>
      <c r="B22" s="5" t="s">
        <v>18</v>
      </c>
      <c r="C22" s="6" t="s">
        <v>176</v>
      </c>
      <c r="D22" s="6" t="s">
        <v>177</v>
      </c>
      <c r="E22" s="5" t="s">
        <v>280</v>
      </c>
      <c r="F22" s="6" t="s">
        <v>305</v>
      </c>
      <c r="G22" s="10" t="s">
        <v>56</v>
      </c>
      <c r="H22" s="8">
        <v>1</v>
      </c>
      <c r="I22" s="8">
        <f>H22*(1+汇总!$C$46)</f>
        <v>1.15</v>
      </c>
      <c r="J22" s="5" t="s">
        <v>281</v>
      </c>
      <c r="K22" s="9">
        <v>46276</v>
      </c>
      <c r="L22" s="9">
        <v>46276</v>
      </c>
      <c r="M22" s="6" t="s">
        <v>306</v>
      </c>
    </row>
    <row r="23" ht="24" spans="1:13">
      <c r="A23" s="4" t="s">
        <v>17</v>
      </c>
      <c r="B23" s="5" t="s">
        <v>18</v>
      </c>
      <c r="C23" s="6" t="s">
        <v>211</v>
      </c>
      <c r="D23" s="6" t="s">
        <v>212</v>
      </c>
      <c r="E23" s="5" t="s">
        <v>280</v>
      </c>
      <c r="F23" s="6" t="s">
        <v>307</v>
      </c>
      <c r="G23" s="11" t="s">
        <v>60</v>
      </c>
      <c r="H23" s="8">
        <v>1.5</v>
      </c>
      <c r="I23" s="8">
        <f>H23*(1+汇总!$C$46)</f>
        <v>1.725</v>
      </c>
      <c r="J23" s="5" t="s">
        <v>281</v>
      </c>
      <c r="K23" s="9">
        <v>46290</v>
      </c>
      <c r="L23" s="9">
        <v>46293</v>
      </c>
      <c r="M23" s="6" t="s">
        <v>308</v>
      </c>
    </row>
    <row r="24" ht="24" spans="1:13">
      <c r="A24" s="4" t="s">
        <v>17</v>
      </c>
      <c r="B24" s="5" t="s">
        <v>18</v>
      </c>
      <c r="C24" s="6" t="s">
        <v>213</v>
      </c>
      <c r="D24" s="6" t="s">
        <v>214</v>
      </c>
      <c r="E24" s="5" t="s">
        <v>280</v>
      </c>
      <c r="F24" s="6" t="s">
        <v>309</v>
      </c>
      <c r="G24" s="11" t="s">
        <v>60</v>
      </c>
      <c r="H24" s="8">
        <v>1.5</v>
      </c>
      <c r="I24" s="8">
        <f>H24*(1+汇总!$C$46)</f>
        <v>1.725</v>
      </c>
      <c r="J24" s="5" t="s">
        <v>281</v>
      </c>
      <c r="K24" s="9">
        <v>46294</v>
      </c>
      <c r="L24" s="9">
        <v>46295</v>
      </c>
      <c r="M24" s="6" t="s">
        <v>310</v>
      </c>
    </row>
    <row r="25" ht="36" spans="1:13">
      <c r="A25" s="4" t="s">
        <v>17</v>
      </c>
      <c r="B25" s="5" t="s">
        <v>18</v>
      </c>
      <c r="C25" s="6" t="s">
        <v>182</v>
      </c>
      <c r="D25" s="6" t="s">
        <v>311</v>
      </c>
      <c r="E25" s="5" t="s">
        <v>280</v>
      </c>
      <c r="F25" s="6" t="s">
        <v>312</v>
      </c>
      <c r="G25" s="11" t="s">
        <v>60</v>
      </c>
      <c r="H25" s="8">
        <v>2</v>
      </c>
      <c r="I25" s="8">
        <f>H25*(1+汇总!$C$46)</f>
        <v>2.3</v>
      </c>
      <c r="J25" s="5" t="s">
        <v>281</v>
      </c>
      <c r="K25" s="9">
        <v>46304</v>
      </c>
      <c r="L25" s="9">
        <v>46308</v>
      </c>
      <c r="M25" s="6" t="s">
        <v>313</v>
      </c>
    </row>
    <row r="26" ht="36" spans="1:13">
      <c r="A26" s="4" t="s">
        <v>19</v>
      </c>
      <c r="B26" s="5" t="s">
        <v>20</v>
      </c>
      <c r="C26" s="6" t="s">
        <v>178</v>
      </c>
      <c r="D26" s="6" t="s">
        <v>179</v>
      </c>
      <c r="E26" s="5" t="s">
        <v>280</v>
      </c>
      <c r="F26" s="6" t="s">
        <v>314</v>
      </c>
      <c r="G26" s="10" t="s">
        <v>56</v>
      </c>
      <c r="H26" s="8">
        <v>2</v>
      </c>
      <c r="I26" s="8">
        <f>H26*(1+汇总!$C$46)</f>
        <v>2.3</v>
      </c>
      <c r="J26" s="5" t="s">
        <v>281</v>
      </c>
      <c r="K26" s="9">
        <v>46276</v>
      </c>
      <c r="L26" s="9">
        <v>46279</v>
      </c>
      <c r="M26" s="6" t="s">
        <v>315</v>
      </c>
    </row>
    <row r="27" ht="36" spans="1:13">
      <c r="A27" s="4" t="s">
        <v>19</v>
      </c>
      <c r="B27" s="5" t="s">
        <v>20</v>
      </c>
      <c r="C27" s="6" t="s">
        <v>216</v>
      </c>
      <c r="D27" s="6" t="s">
        <v>217</v>
      </c>
      <c r="E27" s="5" t="s">
        <v>280</v>
      </c>
      <c r="F27" s="6" t="s">
        <v>316</v>
      </c>
      <c r="G27" s="11" t="s">
        <v>60</v>
      </c>
      <c r="H27" s="8">
        <v>2</v>
      </c>
      <c r="I27" s="8">
        <f>H27*(1+汇总!$C$46)</f>
        <v>2.3</v>
      </c>
      <c r="J27" s="5" t="s">
        <v>281</v>
      </c>
      <c r="K27" s="9">
        <v>46321</v>
      </c>
      <c r="L27" s="9">
        <v>46322</v>
      </c>
      <c r="M27" s="6" t="s">
        <v>317</v>
      </c>
    </row>
    <row r="28" ht="36" spans="1:13">
      <c r="A28" s="4" t="s">
        <v>19</v>
      </c>
      <c r="B28" s="5" t="s">
        <v>20</v>
      </c>
      <c r="C28" s="6" t="s">
        <v>218</v>
      </c>
      <c r="D28" s="6" t="s">
        <v>219</v>
      </c>
      <c r="E28" s="5" t="s">
        <v>280</v>
      </c>
      <c r="F28" s="6" t="s">
        <v>318</v>
      </c>
      <c r="G28" s="11" t="s">
        <v>60</v>
      </c>
      <c r="H28" s="8">
        <v>2.5</v>
      </c>
      <c r="I28" s="8">
        <f>H28*(1+汇总!$C$46)</f>
        <v>2.875</v>
      </c>
      <c r="J28" s="5" t="s">
        <v>281</v>
      </c>
      <c r="K28" s="9">
        <v>46323</v>
      </c>
      <c r="L28" s="9">
        <v>46325</v>
      </c>
      <c r="M28" s="6" t="s">
        <v>319</v>
      </c>
    </row>
    <row r="29" ht="24" spans="1:13">
      <c r="A29" s="4" t="s">
        <v>19</v>
      </c>
      <c r="B29" s="5" t="s">
        <v>20</v>
      </c>
      <c r="C29" s="6" t="s">
        <v>220</v>
      </c>
      <c r="D29" s="6" t="s">
        <v>221</v>
      </c>
      <c r="E29" s="5" t="s">
        <v>280</v>
      </c>
      <c r="F29" s="6" t="s">
        <v>320</v>
      </c>
      <c r="G29" s="11" t="s">
        <v>60</v>
      </c>
      <c r="H29" s="8">
        <v>3</v>
      </c>
      <c r="I29" s="8">
        <f>H29*(1+汇总!$C$46)</f>
        <v>3.45</v>
      </c>
      <c r="J29" s="5" t="s">
        <v>281</v>
      </c>
      <c r="K29" s="9">
        <v>46309</v>
      </c>
      <c r="L29" s="9">
        <v>46311</v>
      </c>
      <c r="M29" s="6" t="s">
        <v>308</v>
      </c>
    </row>
    <row r="30" ht="24" spans="1:13">
      <c r="A30" s="4" t="s">
        <v>19</v>
      </c>
      <c r="B30" s="5" t="s">
        <v>20</v>
      </c>
      <c r="C30" s="6" t="s">
        <v>180</v>
      </c>
      <c r="D30" s="6" t="s">
        <v>181</v>
      </c>
      <c r="E30" s="5" t="s">
        <v>280</v>
      </c>
      <c r="F30" s="6" t="s">
        <v>321</v>
      </c>
      <c r="G30" s="10" t="s">
        <v>56</v>
      </c>
      <c r="H30" s="8">
        <v>3</v>
      </c>
      <c r="I30" s="8">
        <f>H30*(1+汇总!$C$46)</f>
        <v>3.45</v>
      </c>
      <c r="J30" s="5" t="s">
        <v>281</v>
      </c>
      <c r="K30" s="9">
        <v>46280</v>
      </c>
      <c r="L30" s="9">
        <v>46281</v>
      </c>
      <c r="M30" s="6" t="s">
        <v>322</v>
      </c>
    </row>
    <row r="31" spans="1:13">
      <c r="A31" s="4" t="s">
        <v>19</v>
      </c>
      <c r="B31" s="5" t="s">
        <v>20</v>
      </c>
      <c r="C31" s="6" t="s">
        <v>182</v>
      </c>
      <c r="D31" s="6" t="s">
        <v>183</v>
      </c>
      <c r="E31" s="5" t="s">
        <v>280</v>
      </c>
      <c r="F31" s="6" t="s">
        <v>323</v>
      </c>
      <c r="G31" s="10" t="s">
        <v>56</v>
      </c>
      <c r="H31" s="8">
        <v>2</v>
      </c>
      <c r="I31" s="8">
        <f>H31*(1+汇总!$C$46)</f>
        <v>2.3</v>
      </c>
      <c r="J31" s="5" t="s">
        <v>281</v>
      </c>
      <c r="K31" s="9">
        <v>46282</v>
      </c>
      <c r="L31" s="9">
        <v>46283</v>
      </c>
      <c r="M31" s="6" t="s">
        <v>324</v>
      </c>
    </row>
    <row r="32" ht="24" spans="1:13">
      <c r="A32" s="4" t="s">
        <v>19</v>
      </c>
      <c r="B32" s="5" t="s">
        <v>20</v>
      </c>
      <c r="C32" s="6" t="s">
        <v>182</v>
      </c>
      <c r="D32" s="6" t="s">
        <v>184</v>
      </c>
      <c r="E32" s="5" t="s">
        <v>280</v>
      </c>
      <c r="F32" s="6" t="s">
        <v>325</v>
      </c>
      <c r="G32" s="10" t="s">
        <v>56</v>
      </c>
      <c r="H32" s="8">
        <v>1.5</v>
      </c>
      <c r="I32" s="8">
        <f>H32*(1+汇总!$C$46)</f>
        <v>1.725</v>
      </c>
      <c r="J32" s="5" t="s">
        <v>281</v>
      </c>
      <c r="K32" s="9">
        <v>46286</v>
      </c>
      <c r="L32" s="9">
        <v>46287</v>
      </c>
      <c r="M32" s="6" t="s">
        <v>326</v>
      </c>
    </row>
    <row r="33" spans="1:13">
      <c r="A33" s="4" t="s">
        <v>19</v>
      </c>
      <c r="B33" s="5" t="s">
        <v>20</v>
      </c>
      <c r="C33" s="6" t="s">
        <v>182</v>
      </c>
      <c r="D33" s="6" t="s">
        <v>185</v>
      </c>
      <c r="E33" s="5" t="s">
        <v>280</v>
      </c>
      <c r="F33" s="6" t="s">
        <v>327</v>
      </c>
      <c r="G33" s="10" t="s">
        <v>56</v>
      </c>
      <c r="H33" s="8">
        <v>1.5</v>
      </c>
      <c r="I33" s="8">
        <f>H33*(1+汇总!$C$46)</f>
        <v>1.725</v>
      </c>
      <c r="J33" s="5" t="s">
        <v>281</v>
      </c>
      <c r="K33" s="9">
        <v>46288</v>
      </c>
      <c r="L33" s="9">
        <v>46289</v>
      </c>
      <c r="M33" s="6" t="s">
        <v>328</v>
      </c>
    </row>
    <row r="34" spans="1:13">
      <c r="A34" s="4" t="s">
        <v>19</v>
      </c>
      <c r="B34" s="5" t="s">
        <v>20</v>
      </c>
      <c r="C34" s="6" t="s">
        <v>182</v>
      </c>
      <c r="D34" s="6" t="s">
        <v>186</v>
      </c>
      <c r="E34" s="5" t="s">
        <v>280</v>
      </c>
      <c r="F34" s="6" t="s">
        <v>329</v>
      </c>
      <c r="G34" s="10" t="s">
        <v>56</v>
      </c>
      <c r="H34" s="8">
        <v>1.5</v>
      </c>
      <c r="I34" s="8">
        <f>H34*(1+汇总!$C$46)</f>
        <v>1.725</v>
      </c>
      <c r="J34" s="5" t="s">
        <v>281</v>
      </c>
      <c r="K34" s="9">
        <v>46290</v>
      </c>
      <c r="L34" s="9">
        <v>46293</v>
      </c>
      <c r="M34" s="6" t="s">
        <v>328</v>
      </c>
    </row>
    <row r="35" spans="1:13">
      <c r="A35" s="4" t="s">
        <v>19</v>
      </c>
      <c r="B35" s="5" t="s">
        <v>20</v>
      </c>
      <c r="C35" s="6" t="s">
        <v>182</v>
      </c>
      <c r="D35" s="6" t="s">
        <v>233</v>
      </c>
      <c r="E35" s="5" t="s">
        <v>280</v>
      </c>
      <c r="F35" s="6" t="s">
        <v>330</v>
      </c>
      <c r="G35" s="12" t="s">
        <v>64</v>
      </c>
      <c r="H35" s="8">
        <v>1.5</v>
      </c>
      <c r="I35" s="8">
        <f>H35*(1+汇总!$C$46)</f>
        <v>1.725</v>
      </c>
      <c r="J35" s="5" t="s">
        <v>281</v>
      </c>
      <c r="K35" s="9">
        <v>46344</v>
      </c>
      <c r="L35" s="9">
        <v>46345</v>
      </c>
      <c r="M35" s="6" t="s">
        <v>331</v>
      </c>
    </row>
    <row r="36" ht="24" spans="1:13">
      <c r="A36" s="4" t="s">
        <v>19</v>
      </c>
      <c r="B36" s="5" t="s">
        <v>20</v>
      </c>
      <c r="C36" s="6" t="s">
        <v>182</v>
      </c>
      <c r="D36" s="6" t="s">
        <v>234</v>
      </c>
      <c r="E36" s="5" t="s">
        <v>280</v>
      </c>
      <c r="F36" s="6" t="s">
        <v>332</v>
      </c>
      <c r="G36" s="12" t="s">
        <v>64</v>
      </c>
      <c r="H36" s="8">
        <v>1.5</v>
      </c>
      <c r="I36" s="8">
        <f>H36*(1+汇总!$C$46)</f>
        <v>1.725</v>
      </c>
      <c r="J36" s="5" t="s">
        <v>281</v>
      </c>
      <c r="K36" s="9">
        <v>46346</v>
      </c>
      <c r="L36" s="9">
        <v>46349</v>
      </c>
      <c r="M36" s="6" t="s">
        <v>333</v>
      </c>
    </row>
    <row r="37" ht="36" spans="1:13">
      <c r="A37" s="4" t="s">
        <v>19</v>
      </c>
      <c r="B37" s="5" t="s">
        <v>20</v>
      </c>
      <c r="C37" s="6" t="s">
        <v>182</v>
      </c>
      <c r="D37" s="6" t="s">
        <v>334</v>
      </c>
      <c r="E37" s="5" t="s">
        <v>280</v>
      </c>
      <c r="F37" s="6" t="s">
        <v>335</v>
      </c>
      <c r="G37" s="10" t="s">
        <v>56</v>
      </c>
      <c r="H37" s="8">
        <v>2.5</v>
      </c>
      <c r="I37" s="8">
        <f>H37*(1+汇总!$C$46)</f>
        <v>2.875</v>
      </c>
      <c r="J37" s="5" t="s">
        <v>281</v>
      </c>
      <c r="K37" s="9">
        <v>46290</v>
      </c>
      <c r="L37" s="9">
        <v>46293</v>
      </c>
      <c r="M37" s="6" t="s">
        <v>336</v>
      </c>
    </row>
    <row r="38" ht="36" spans="1:13">
      <c r="A38" s="4" t="s">
        <v>22</v>
      </c>
      <c r="B38" s="5" t="s">
        <v>23</v>
      </c>
      <c r="C38" s="6" t="s">
        <v>222</v>
      </c>
      <c r="D38" s="6" t="s">
        <v>337</v>
      </c>
      <c r="E38" s="5" t="s">
        <v>280</v>
      </c>
      <c r="F38" s="6" t="s">
        <v>338</v>
      </c>
      <c r="G38" s="11" t="s">
        <v>60</v>
      </c>
      <c r="H38" s="8">
        <v>3.5</v>
      </c>
      <c r="I38" s="8">
        <f>H38*(1+汇总!$C$46)</f>
        <v>4.025</v>
      </c>
      <c r="J38" s="5" t="s">
        <v>281</v>
      </c>
      <c r="K38" s="9">
        <v>46307</v>
      </c>
      <c r="L38" s="9">
        <v>46310</v>
      </c>
      <c r="M38" s="6" t="s">
        <v>339</v>
      </c>
    </row>
    <row r="39" ht="36" spans="1:13">
      <c r="A39" s="4" t="s">
        <v>22</v>
      </c>
      <c r="B39" s="5" t="s">
        <v>23</v>
      </c>
      <c r="C39" s="6" t="s">
        <v>224</v>
      </c>
      <c r="D39" s="6" t="s">
        <v>225</v>
      </c>
      <c r="E39" s="5" t="s">
        <v>280</v>
      </c>
      <c r="F39" s="6" t="s">
        <v>340</v>
      </c>
      <c r="G39" s="11" t="s">
        <v>60</v>
      </c>
      <c r="H39" s="8">
        <v>3</v>
      </c>
      <c r="I39" s="8">
        <f>H39*(1+汇总!$C$46)</f>
        <v>3.45</v>
      </c>
      <c r="J39" s="5" t="s">
        <v>281</v>
      </c>
      <c r="K39" s="9">
        <v>46314</v>
      </c>
      <c r="L39" s="9">
        <v>46316</v>
      </c>
      <c r="M39" s="6" t="s">
        <v>341</v>
      </c>
    </row>
    <row r="40" spans="1:13">
      <c r="A40" s="4" t="s">
        <v>22</v>
      </c>
      <c r="B40" s="5" t="s">
        <v>23</v>
      </c>
      <c r="C40" s="6" t="s">
        <v>182</v>
      </c>
      <c r="D40" s="6" t="s">
        <v>235</v>
      </c>
      <c r="E40" s="5" t="s">
        <v>280</v>
      </c>
      <c r="F40" s="6" t="s">
        <v>342</v>
      </c>
      <c r="G40" s="12" t="s">
        <v>64</v>
      </c>
      <c r="H40" s="8">
        <v>2</v>
      </c>
      <c r="I40" s="8">
        <f>H40*(1+汇总!$C$46)</f>
        <v>2.3</v>
      </c>
      <c r="J40" s="5" t="s">
        <v>281</v>
      </c>
      <c r="K40" s="9">
        <v>46339</v>
      </c>
      <c r="L40" s="9">
        <v>46343</v>
      </c>
      <c r="M40" s="6" t="s">
        <v>343</v>
      </c>
    </row>
    <row r="41" ht="36" spans="1:13">
      <c r="A41" s="4" t="s">
        <v>22</v>
      </c>
      <c r="B41" s="5" t="s">
        <v>23</v>
      </c>
      <c r="C41" s="6" t="s">
        <v>182</v>
      </c>
      <c r="D41" s="6" t="s">
        <v>344</v>
      </c>
      <c r="E41" s="5" t="s">
        <v>280</v>
      </c>
      <c r="F41" s="6" t="s">
        <v>345</v>
      </c>
      <c r="G41" s="11" t="s">
        <v>60</v>
      </c>
      <c r="H41" s="8">
        <v>2.5</v>
      </c>
      <c r="I41" s="8">
        <f>H41*(1+汇总!$C$46)</f>
        <v>2.875</v>
      </c>
      <c r="J41" s="5" t="s">
        <v>281</v>
      </c>
      <c r="K41" s="9">
        <v>46324</v>
      </c>
      <c r="L41" s="9">
        <v>46328</v>
      </c>
      <c r="M41" s="6" t="s">
        <v>346</v>
      </c>
    </row>
    <row r="42" ht="36" spans="1:13">
      <c r="A42" s="4" t="s">
        <v>22</v>
      </c>
      <c r="B42" s="5" t="s">
        <v>23</v>
      </c>
      <c r="C42" s="6" t="s">
        <v>182</v>
      </c>
      <c r="D42" s="6" t="s">
        <v>347</v>
      </c>
      <c r="E42" s="5" t="s">
        <v>280</v>
      </c>
      <c r="F42" s="6" t="s">
        <v>348</v>
      </c>
      <c r="G42" s="11" t="s">
        <v>60</v>
      </c>
      <c r="H42" s="8">
        <v>2</v>
      </c>
      <c r="I42" s="8">
        <f>H42*(1+汇总!$C$46)</f>
        <v>2.3</v>
      </c>
      <c r="J42" s="5" t="s">
        <v>281</v>
      </c>
      <c r="K42" s="9">
        <v>46321</v>
      </c>
      <c r="L42" s="9">
        <v>46323</v>
      </c>
      <c r="M42" s="6" t="s">
        <v>349</v>
      </c>
    </row>
    <row r="43" ht="36" spans="1:13">
      <c r="A43" s="4" t="s">
        <v>25</v>
      </c>
      <c r="B43" s="5" t="s">
        <v>26</v>
      </c>
      <c r="C43" s="6" t="s">
        <v>188</v>
      </c>
      <c r="D43" s="6" t="s">
        <v>189</v>
      </c>
      <c r="E43" s="5" t="s">
        <v>280</v>
      </c>
      <c r="F43" s="6" t="s">
        <v>350</v>
      </c>
      <c r="G43" s="10" t="s">
        <v>56</v>
      </c>
      <c r="H43" s="8">
        <v>2</v>
      </c>
      <c r="I43" s="8">
        <f>H43*(1+汇总!$C$46)</f>
        <v>2.3</v>
      </c>
      <c r="J43" s="5" t="s">
        <v>281</v>
      </c>
      <c r="K43" s="9">
        <v>46276</v>
      </c>
      <c r="L43" s="9">
        <v>46279</v>
      </c>
      <c r="M43" s="6" t="s">
        <v>351</v>
      </c>
    </row>
    <row r="44" ht="24" spans="1:13">
      <c r="A44" s="4" t="s">
        <v>25</v>
      </c>
      <c r="B44" s="5" t="s">
        <v>26</v>
      </c>
      <c r="C44" s="6" t="s">
        <v>190</v>
      </c>
      <c r="D44" s="6" t="s">
        <v>191</v>
      </c>
      <c r="E44" s="5" t="s">
        <v>280</v>
      </c>
      <c r="F44" s="6" t="s">
        <v>352</v>
      </c>
      <c r="G44" s="10" t="s">
        <v>56</v>
      </c>
      <c r="H44" s="8">
        <v>1</v>
      </c>
      <c r="I44" s="8">
        <f>H44*(1+汇总!$C$46)</f>
        <v>1.15</v>
      </c>
      <c r="J44" s="5" t="s">
        <v>281</v>
      </c>
      <c r="K44" s="9">
        <v>46281</v>
      </c>
      <c r="L44" s="9">
        <v>46281</v>
      </c>
      <c r="M44" s="6" t="s">
        <v>353</v>
      </c>
    </row>
    <row r="45" ht="24" spans="1:13">
      <c r="A45" s="4" t="s">
        <v>25</v>
      </c>
      <c r="B45" s="5" t="s">
        <v>26</v>
      </c>
      <c r="C45" s="6" t="s">
        <v>236</v>
      </c>
      <c r="D45" s="6" t="s">
        <v>237</v>
      </c>
      <c r="E45" s="5" t="s">
        <v>280</v>
      </c>
      <c r="F45" s="6" t="s">
        <v>292</v>
      </c>
      <c r="G45" s="12" t="s">
        <v>64</v>
      </c>
      <c r="H45" s="8">
        <v>4</v>
      </c>
      <c r="I45" s="8">
        <f>H45*(1+汇总!$C$46)</f>
        <v>4.6</v>
      </c>
      <c r="J45" s="5" t="s">
        <v>281</v>
      </c>
      <c r="K45" s="9">
        <v>46344</v>
      </c>
      <c r="L45" s="9">
        <v>46350</v>
      </c>
      <c r="M45" s="6" t="s">
        <v>354</v>
      </c>
    </row>
    <row r="46" ht="24" spans="1:13">
      <c r="A46" s="4" t="s">
        <v>25</v>
      </c>
      <c r="B46" s="5" t="s">
        <v>26</v>
      </c>
      <c r="C46" s="6" t="s">
        <v>238</v>
      </c>
      <c r="D46" s="6" t="s">
        <v>239</v>
      </c>
      <c r="E46" s="5" t="s">
        <v>280</v>
      </c>
      <c r="F46" s="6" t="s">
        <v>355</v>
      </c>
      <c r="G46" s="12" t="s">
        <v>64</v>
      </c>
      <c r="H46" s="8">
        <v>2</v>
      </c>
      <c r="I46" s="8">
        <f>H46*(1+汇总!$C$46)</f>
        <v>2.3</v>
      </c>
      <c r="J46" s="5" t="s">
        <v>281</v>
      </c>
      <c r="K46" s="9">
        <v>46342</v>
      </c>
      <c r="L46" s="9">
        <v>46343</v>
      </c>
      <c r="M46" s="6" t="s">
        <v>356</v>
      </c>
    </row>
    <row r="47" ht="24" spans="1:13">
      <c r="A47" s="4" t="s">
        <v>25</v>
      </c>
      <c r="B47" s="5" t="s">
        <v>26</v>
      </c>
      <c r="C47" s="6" t="s">
        <v>182</v>
      </c>
      <c r="D47" s="6" t="s">
        <v>192</v>
      </c>
      <c r="E47" s="5" t="s">
        <v>280</v>
      </c>
      <c r="F47" s="6" t="s">
        <v>357</v>
      </c>
      <c r="G47" s="10" t="s">
        <v>56</v>
      </c>
      <c r="H47" s="8">
        <v>1.5</v>
      </c>
      <c r="I47" s="8">
        <f>H47*(1+汇总!$C$46)</f>
        <v>1.725</v>
      </c>
      <c r="J47" s="5" t="s">
        <v>281</v>
      </c>
      <c r="K47" s="9">
        <v>46288</v>
      </c>
      <c r="L47" s="9">
        <v>46289</v>
      </c>
      <c r="M47" s="6" t="s">
        <v>358</v>
      </c>
    </row>
    <row r="48" ht="36" spans="1:13">
      <c r="A48" s="4" t="s">
        <v>28</v>
      </c>
      <c r="B48" s="5" t="s">
        <v>29</v>
      </c>
      <c r="C48" s="6" t="s">
        <v>193</v>
      </c>
      <c r="D48" s="6" t="s">
        <v>359</v>
      </c>
      <c r="E48" s="5" t="s">
        <v>280</v>
      </c>
      <c r="F48" s="6" t="s">
        <v>360</v>
      </c>
      <c r="G48" s="10" t="s">
        <v>56</v>
      </c>
      <c r="H48" s="8">
        <v>3.5</v>
      </c>
      <c r="I48" s="8">
        <f>H48*(1+汇总!$C$46)</f>
        <v>4.025</v>
      </c>
      <c r="J48" s="5" t="s">
        <v>281</v>
      </c>
      <c r="K48" s="9">
        <v>46282</v>
      </c>
      <c r="L48" s="9">
        <v>46286</v>
      </c>
      <c r="M48" s="6" t="s">
        <v>361</v>
      </c>
    </row>
    <row r="49" spans="1:13">
      <c r="A49" s="4" t="s">
        <v>28</v>
      </c>
      <c r="B49" s="5" t="s">
        <v>29</v>
      </c>
      <c r="C49" s="6" t="s">
        <v>240</v>
      </c>
      <c r="D49" s="6" t="s">
        <v>241</v>
      </c>
      <c r="E49" s="5" t="s">
        <v>280</v>
      </c>
      <c r="F49" s="6" t="s">
        <v>362</v>
      </c>
      <c r="G49" s="12" t="s">
        <v>64</v>
      </c>
      <c r="H49" s="8">
        <v>1.5</v>
      </c>
      <c r="I49" s="8">
        <f>H49*(1+汇总!$C$46)</f>
        <v>1.725</v>
      </c>
      <c r="J49" s="5" t="s">
        <v>281</v>
      </c>
      <c r="K49" s="9">
        <v>46344</v>
      </c>
      <c r="L49" s="9">
        <v>46345</v>
      </c>
      <c r="M49" s="6" t="s">
        <v>363</v>
      </c>
    </row>
    <row r="50" spans="1:13">
      <c r="A50" s="4" t="s">
        <v>28</v>
      </c>
      <c r="B50" s="5" t="s">
        <v>29</v>
      </c>
      <c r="C50" s="6" t="s">
        <v>195</v>
      </c>
      <c r="D50" s="6" t="s">
        <v>196</v>
      </c>
      <c r="E50" s="5" t="s">
        <v>280</v>
      </c>
      <c r="F50" s="6" t="s">
        <v>364</v>
      </c>
      <c r="G50" s="10" t="s">
        <v>56</v>
      </c>
      <c r="H50" s="8">
        <v>1.5</v>
      </c>
      <c r="I50" s="8">
        <f>H50*(1+汇总!$C$46)</f>
        <v>1.725</v>
      </c>
      <c r="J50" s="5" t="s">
        <v>281</v>
      </c>
      <c r="K50" s="9">
        <v>46287</v>
      </c>
      <c r="L50" s="9">
        <v>46288</v>
      </c>
      <c r="M50" s="6" t="s">
        <v>365</v>
      </c>
    </row>
    <row r="51" ht="24" spans="1:13">
      <c r="A51" s="4" t="s">
        <v>28</v>
      </c>
      <c r="B51" s="5" t="s">
        <v>29</v>
      </c>
      <c r="C51" s="6" t="s">
        <v>242</v>
      </c>
      <c r="D51" s="6" t="s">
        <v>366</v>
      </c>
      <c r="E51" s="5" t="s">
        <v>280</v>
      </c>
      <c r="F51" s="6" t="s">
        <v>367</v>
      </c>
      <c r="G51" s="12" t="s">
        <v>64</v>
      </c>
      <c r="H51" s="8">
        <v>4</v>
      </c>
      <c r="I51" s="8">
        <f>H51*(1+汇总!$C$46)</f>
        <v>4.6</v>
      </c>
      <c r="J51" s="5" t="s">
        <v>281</v>
      </c>
      <c r="K51" s="9">
        <v>46350</v>
      </c>
      <c r="L51" s="9">
        <v>46356</v>
      </c>
      <c r="M51" s="6" t="s">
        <v>368</v>
      </c>
    </row>
    <row r="52" spans="1:13">
      <c r="A52" s="4" t="s">
        <v>28</v>
      </c>
      <c r="B52" s="5" t="s">
        <v>29</v>
      </c>
      <c r="C52" s="6" t="s">
        <v>244</v>
      </c>
      <c r="D52" s="6" t="s">
        <v>245</v>
      </c>
      <c r="E52" s="5" t="s">
        <v>280</v>
      </c>
      <c r="F52" s="6" t="s">
        <v>369</v>
      </c>
      <c r="G52" s="12" t="s">
        <v>64</v>
      </c>
      <c r="H52" s="8">
        <v>2.5</v>
      </c>
      <c r="I52" s="8">
        <f>H52*(1+汇总!$C$46)</f>
        <v>2.875</v>
      </c>
      <c r="J52" s="5" t="s">
        <v>281</v>
      </c>
      <c r="K52" s="9">
        <v>46350</v>
      </c>
      <c r="L52" s="9">
        <v>46352</v>
      </c>
      <c r="M52" s="6" t="s">
        <v>370</v>
      </c>
    </row>
    <row r="53" ht="36" spans="1:13">
      <c r="A53" s="4" t="s">
        <v>28</v>
      </c>
      <c r="B53" s="5" t="s">
        <v>29</v>
      </c>
      <c r="C53" s="6" t="s">
        <v>228</v>
      </c>
      <c r="D53" s="6" t="s">
        <v>229</v>
      </c>
      <c r="E53" s="5" t="s">
        <v>280</v>
      </c>
      <c r="F53" s="6" t="s">
        <v>371</v>
      </c>
      <c r="G53" s="11" t="s">
        <v>60</v>
      </c>
      <c r="H53" s="8">
        <v>3</v>
      </c>
      <c r="I53" s="8">
        <f>H53*(1+汇总!$C$46)</f>
        <v>3.45</v>
      </c>
      <c r="J53" s="5" t="s">
        <v>281</v>
      </c>
      <c r="K53" s="9">
        <v>46282</v>
      </c>
      <c r="L53" s="9">
        <v>46287</v>
      </c>
      <c r="M53" s="6" t="s">
        <v>372</v>
      </c>
    </row>
    <row r="54" spans="1:13">
      <c r="A54" s="4" t="s">
        <v>28</v>
      </c>
      <c r="B54" s="5" t="s">
        <v>29</v>
      </c>
      <c r="C54" s="6" t="s">
        <v>230</v>
      </c>
      <c r="D54" s="6" t="s">
        <v>231</v>
      </c>
      <c r="E54" s="5" t="s">
        <v>280</v>
      </c>
      <c r="F54" s="6" t="s">
        <v>373</v>
      </c>
      <c r="G54" s="11" t="s">
        <v>60</v>
      </c>
      <c r="H54" s="8">
        <v>1.5</v>
      </c>
      <c r="I54" s="8">
        <f>H54*(1+汇总!$C$46)</f>
        <v>1.725</v>
      </c>
      <c r="J54" s="5" t="s">
        <v>281</v>
      </c>
      <c r="K54" s="9">
        <v>46288</v>
      </c>
      <c r="L54" s="9">
        <v>46289</v>
      </c>
      <c r="M54" s="6" t="s">
        <v>374</v>
      </c>
    </row>
    <row r="55" ht="24" spans="1:13">
      <c r="A55" s="4" t="s">
        <v>28</v>
      </c>
      <c r="B55" s="5" t="s">
        <v>29</v>
      </c>
      <c r="C55" s="6" t="s">
        <v>182</v>
      </c>
      <c r="D55" s="6" t="s">
        <v>375</v>
      </c>
      <c r="E55" s="5" t="s">
        <v>280</v>
      </c>
      <c r="F55" s="6" t="s">
        <v>376</v>
      </c>
      <c r="G55" s="11" t="s">
        <v>60</v>
      </c>
      <c r="H55" s="8">
        <v>1</v>
      </c>
      <c r="I55" s="8">
        <f>H55*(1+汇总!$C$46)</f>
        <v>1.15</v>
      </c>
      <c r="J55" s="5" t="s">
        <v>281</v>
      </c>
      <c r="K55" s="9">
        <v>46329</v>
      </c>
      <c r="L55" s="9">
        <v>46330</v>
      </c>
      <c r="M55" s="6" t="s">
        <v>377</v>
      </c>
    </row>
    <row r="56" ht="48" spans="1:13">
      <c r="A56" s="4" t="s">
        <v>31</v>
      </c>
      <c r="B56" s="5" t="s">
        <v>32</v>
      </c>
      <c r="C56" s="6" t="s">
        <v>197</v>
      </c>
      <c r="D56" s="6" t="s">
        <v>378</v>
      </c>
      <c r="E56" s="5" t="s">
        <v>280</v>
      </c>
      <c r="F56" s="6" t="s">
        <v>379</v>
      </c>
      <c r="G56" s="10" t="s">
        <v>56</v>
      </c>
      <c r="H56" s="8">
        <v>1.5</v>
      </c>
      <c r="I56" s="8">
        <f>H56*(1+汇总!$C$46)</f>
        <v>1.725</v>
      </c>
      <c r="J56" s="5" t="s">
        <v>281</v>
      </c>
      <c r="K56" s="9">
        <v>46289</v>
      </c>
      <c r="L56" s="9">
        <v>46290</v>
      </c>
      <c r="M56" s="6" t="s">
        <v>380</v>
      </c>
    </row>
    <row r="57" spans="1:13">
      <c r="A57" s="4" t="s">
        <v>31</v>
      </c>
      <c r="B57" s="5" t="s">
        <v>32</v>
      </c>
      <c r="C57" s="6" t="s">
        <v>246</v>
      </c>
      <c r="D57" s="6" t="s">
        <v>247</v>
      </c>
      <c r="E57" s="5" t="s">
        <v>280</v>
      </c>
      <c r="F57" s="6" t="s">
        <v>381</v>
      </c>
      <c r="G57" s="12" t="s">
        <v>64</v>
      </c>
      <c r="H57" s="8">
        <v>0.5</v>
      </c>
      <c r="I57" s="8">
        <f>H57*(1+汇总!$C$46)</f>
        <v>0.575</v>
      </c>
      <c r="J57" s="5" t="s">
        <v>281</v>
      </c>
      <c r="K57" s="9">
        <v>46346</v>
      </c>
      <c r="L57" s="9">
        <v>46346</v>
      </c>
      <c r="M57" s="6" t="s">
        <v>382</v>
      </c>
    </row>
    <row r="58" ht="36" spans="1:13">
      <c r="A58" s="4" t="s">
        <v>31</v>
      </c>
      <c r="B58" s="5" t="s">
        <v>32</v>
      </c>
      <c r="C58" s="6" t="s">
        <v>383</v>
      </c>
      <c r="D58" s="6" t="s">
        <v>384</v>
      </c>
      <c r="E58" s="5" t="s">
        <v>280</v>
      </c>
      <c r="F58" s="6" t="s">
        <v>385</v>
      </c>
      <c r="G58" s="12" t="s">
        <v>64</v>
      </c>
      <c r="H58" s="8">
        <v>1</v>
      </c>
      <c r="I58" s="8">
        <f>H58*(1+汇总!$C$46)</f>
        <v>1.15</v>
      </c>
      <c r="J58" s="5" t="s">
        <v>281</v>
      </c>
      <c r="K58" s="9">
        <v>46349</v>
      </c>
      <c r="L58" s="9">
        <v>46349</v>
      </c>
      <c r="M58" s="6" t="s">
        <v>386</v>
      </c>
    </row>
    <row r="59" ht="24" spans="1:13">
      <c r="A59" s="4" t="s">
        <v>33</v>
      </c>
      <c r="B59" s="5" t="s">
        <v>34</v>
      </c>
      <c r="C59" s="6" t="s">
        <v>199</v>
      </c>
      <c r="D59" s="6" t="s">
        <v>200</v>
      </c>
      <c r="E59" s="5" t="s">
        <v>280</v>
      </c>
      <c r="F59" s="6" t="s">
        <v>387</v>
      </c>
      <c r="G59" s="10" t="s">
        <v>56</v>
      </c>
      <c r="H59" s="8">
        <v>2</v>
      </c>
      <c r="I59" s="8">
        <f>H59*(1+汇总!$C$46)</f>
        <v>2.3</v>
      </c>
      <c r="J59" s="5" t="s">
        <v>281</v>
      </c>
      <c r="K59" s="9">
        <v>46286</v>
      </c>
      <c r="L59" s="9">
        <v>46287</v>
      </c>
      <c r="M59" s="6" t="s">
        <v>388</v>
      </c>
    </row>
    <row r="60" spans="1:13">
      <c r="A60" s="4" t="s">
        <v>33</v>
      </c>
      <c r="B60" s="5" t="s">
        <v>34</v>
      </c>
      <c r="C60" s="6" t="s">
        <v>201</v>
      </c>
      <c r="D60" s="6" t="s">
        <v>202</v>
      </c>
      <c r="E60" s="5" t="s">
        <v>280</v>
      </c>
      <c r="F60" s="6" t="s">
        <v>389</v>
      </c>
      <c r="G60" s="10" t="s">
        <v>56</v>
      </c>
      <c r="H60" s="8">
        <v>1</v>
      </c>
      <c r="I60" s="8">
        <f>H60*(1+汇总!$C$46)</f>
        <v>1.15</v>
      </c>
      <c r="J60" s="5" t="s">
        <v>281</v>
      </c>
      <c r="K60" s="9">
        <v>46288</v>
      </c>
      <c r="L60" s="9">
        <v>46288</v>
      </c>
      <c r="M60" s="6"/>
    </row>
    <row r="61" spans="1:13">
      <c r="A61" s="4" t="s">
        <v>33</v>
      </c>
      <c r="B61" s="5" t="s">
        <v>34</v>
      </c>
      <c r="C61" s="6" t="s">
        <v>390</v>
      </c>
      <c r="D61" s="6" t="s">
        <v>391</v>
      </c>
      <c r="E61" s="5" t="s">
        <v>280</v>
      </c>
      <c r="F61" s="6" t="s">
        <v>392</v>
      </c>
      <c r="G61" s="10" t="s">
        <v>56</v>
      </c>
      <c r="H61" s="8">
        <v>1.5</v>
      </c>
      <c r="I61" s="8">
        <f>H61*(1+汇总!$C$46)</f>
        <v>1.725</v>
      </c>
      <c r="J61" s="5" t="s">
        <v>281</v>
      </c>
      <c r="K61" s="9">
        <v>46289</v>
      </c>
      <c r="L61" s="9">
        <v>46290</v>
      </c>
      <c r="M61" s="6" t="s">
        <v>393</v>
      </c>
    </row>
    <row r="62" ht="24" spans="1:13">
      <c r="A62" s="4" t="s">
        <v>33</v>
      </c>
      <c r="B62" s="5" t="s">
        <v>34</v>
      </c>
      <c r="C62" s="6" t="s">
        <v>203</v>
      </c>
      <c r="D62" s="6" t="s">
        <v>204</v>
      </c>
      <c r="E62" s="5" t="s">
        <v>280</v>
      </c>
      <c r="F62" s="6" t="s">
        <v>394</v>
      </c>
      <c r="G62" s="10" t="s">
        <v>56</v>
      </c>
      <c r="H62" s="8">
        <v>1.5</v>
      </c>
      <c r="I62" s="8">
        <f>H62*(1+汇总!$C$46)</f>
        <v>1.725</v>
      </c>
      <c r="J62" s="5" t="s">
        <v>281</v>
      </c>
      <c r="K62" s="9">
        <v>46293</v>
      </c>
      <c r="L62" s="9">
        <v>46294</v>
      </c>
      <c r="M62" s="6"/>
    </row>
    <row r="63" ht="24" spans="1:13">
      <c r="A63" s="4" t="s">
        <v>33</v>
      </c>
      <c r="B63" s="5" t="s">
        <v>34</v>
      </c>
      <c r="C63" s="6" t="s">
        <v>182</v>
      </c>
      <c r="D63" s="6" t="s">
        <v>205</v>
      </c>
      <c r="E63" s="5" t="s">
        <v>280</v>
      </c>
      <c r="F63" s="6" t="s">
        <v>395</v>
      </c>
      <c r="G63" s="10" t="s">
        <v>56</v>
      </c>
      <c r="H63" s="8">
        <v>1.5</v>
      </c>
      <c r="I63" s="8">
        <f>H63*(1+汇总!$C$46)</f>
        <v>1.725</v>
      </c>
      <c r="J63" s="5" t="s">
        <v>281</v>
      </c>
      <c r="K63" s="9">
        <v>46294</v>
      </c>
      <c r="L63" s="9">
        <v>46295</v>
      </c>
      <c r="M63" s="6" t="s">
        <v>396</v>
      </c>
    </row>
    <row r="64" ht="24" spans="1:13">
      <c r="A64" s="4" t="s">
        <v>36</v>
      </c>
      <c r="B64" s="5" t="s">
        <v>37</v>
      </c>
      <c r="C64" s="6" t="s">
        <v>75</v>
      </c>
      <c r="D64" s="6" t="s">
        <v>248</v>
      </c>
      <c r="E64" s="5" t="s">
        <v>37</v>
      </c>
      <c r="F64" s="6" t="s">
        <v>397</v>
      </c>
      <c r="G64" s="7" t="s">
        <v>72</v>
      </c>
      <c r="H64" s="8">
        <v>10</v>
      </c>
      <c r="I64" s="8">
        <f>H64*(1+汇总!$C$46)</f>
        <v>11.5</v>
      </c>
      <c r="J64" s="5" t="s">
        <v>281</v>
      </c>
      <c r="K64" s="9">
        <v>46308</v>
      </c>
      <c r="L64" s="9">
        <v>46367</v>
      </c>
      <c r="M64" s="6" t="s">
        <v>398</v>
      </c>
    </row>
    <row r="65" spans="1:13">
      <c r="A65" s="4" t="s">
        <v>36</v>
      </c>
      <c r="B65" s="5" t="s">
        <v>37</v>
      </c>
      <c r="C65" s="6" t="s">
        <v>75</v>
      </c>
      <c r="D65" s="6" t="s">
        <v>249</v>
      </c>
      <c r="E65" s="5" t="s">
        <v>37</v>
      </c>
      <c r="F65" s="6" t="s">
        <v>75</v>
      </c>
      <c r="G65" s="7" t="s">
        <v>72</v>
      </c>
      <c r="H65" s="8">
        <v>7</v>
      </c>
      <c r="I65" s="8">
        <f>H65*(1+汇总!$C$46)</f>
        <v>8.05</v>
      </c>
      <c r="J65" s="5" t="s">
        <v>281</v>
      </c>
      <c r="K65" s="9">
        <v>46314</v>
      </c>
      <c r="L65" s="9">
        <v>46370</v>
      </c>
      <c r="M65" s="6"/>
    </row>
    <row r="66" spans="1:13">
      <c r="A66" s="4" t="s">
        <v>39</v>
      </c>
      <c r="B66" s="5" t="s">
        <v>40</v>
      </c>
      <c r="C66" s="6" t="s">
        <v>75</v>
      </c>
      <c r="D66" s="6" t="s">
        <v>250</v>
      </c>
      <c r="E66" s="5" t="s">
        <v>399</v>
      </c>
      <c r="F66" s="6" t="s">
        <v>75</v>
      </c>
      <c r="G66" s="7" t="s">
        <v>72</v>
      </c>
      <c r="H66" s="8">
        <v>4</v>
      </c>
      <c r="I66" s="8">
        <f>H66*(1+汇总!$C$46)</f>
        <v>4.6</v>
      </c>
      <c r="J66" s="5" t="s">
        <v>281</v>
      </c>
      <c r="K66" s="9">
        <v>46308</v>
      </c>
      <c r="L66" s="9">
        <v>46365</v>
      </c>
      <c r="M66" s="6" t="s">
        <v>400</v>
      </c>
    </row>
    <row r="67" ht="24" spans="1:13">
      <c r="A67" s="4" t="s">
        <v>39</v>
      </c>
      <c r="B67" s="5" t="s">
        <v>40</v>
      </c>
      <c r="C67" s="6" t="s">
        <v>75</v>
      </c>
      <c r="D67" s="6" t="s">
        <v>251</v>
      </c>
      <c r="E67" s="5" t="s">
        <v>399</v>
      </c>
      <c r="F67" s="6" t="s">
        <v>75</v>
      </c>
      <c r="G67" s="7" t="s">
        <v>72</v>
      </c>
      <c r="H67" s="8">
        <v>6</v>
      </c>
      <c r="I67" s="8">
        <f>H67*(1+汇总!$C$46)</f>
        <v>6.9</v>
      </c>
      <c r="J67" s="5" t="s">
        <v>281</v>
      </c>
      <c r="K67" s="9">
        <v>46311</v>
      </c>
      <c r="L67" s="9">
        <v>46366</v>
      </c>
      <c r="M67" s="6" t="s">
        <v>401</v>
      </c>
    </row>
    <row r="68" spans="1:13">
      <c r="A68" s="4" t="s">
        <v>39</v>
      </c>
      <c r="B68" s="5" t="s">
        <v>40</v>
      </c>
      <c r="C68" s="6" t="s">
        <v>75</v>
      </c>
      <c r="D68" s="6" t="s">
        <v>252</v>
      </c>
      <c r="E68" s="5" t="s">
        <v>399</v>
      </c>
      <c r="F68" s="6" t="s">
        <v>75</v>
      </c>
      <c r="G68" s="7" t="s">
        <v>72</v>
      </c>
      <c r="H68" s="8">
        <v>3</v>
      </c>
      <c r="I68" s="8">
        <f>H68*(1+汇总!$C$46)</f>
        <v>3.45</v>
      </c>
      <c r="J68" s="5" t="s">
        <v>281</v>
      </c>
      <c r="K68" s="9">
        <v>46314</v>
      </c>
      <c r="L68" s="9">
        <v>46367</v>
      </c>
      <c r="M68" s="6" t="s">
        <v>402</v>
      </c>
    </row>
    <row r="69" ht="36" spans="1:13">
      <c r="A69" s="4" t="s">
        <v>42</v>
      </c>
      <c r="B69" s="5" t="s">
        <v>43</v>
      </c>
      <c r="C69" s="6" t="s">
        <v>75</v>
      </c>
      <c r="D69" s="6" t="s">
        <v>253</v>
      </c>
      <c r="E69" s="5" t="s">
        <v>403</v>
      </c>
      <c r="F69" s="6" t="s">
        <v>75</v>
      </c>
      <c r="G69" s="7" t="s">
        <v>72</v>
      </c>
      <c r="H69" s="8">
        <v>3</v>
      </c>
      <c r="I69" s="8">
        <f>H69*(1+汇总!$C$46)</f>
        <v>3.45</v>
      </c>
      <c r="J69" s="5" t="s">
        <v>281</v>
      </c>
      <c r="K69" s="9">
        <v>46314</v>
      </c>
      <c r="L69" s="9">
        <v>46367</v>
      </c>
      <c r="M69" s="6" t="s">
        <v>404</v>
      </c>
    </row>
    <row r="70" spans="1:13">
      <c r="A70" s="4" t="s">
        <v>42</v>
      </c>
      <c r="B70" s="5" t="s">
        <v>43</v>
      </c>
      <c r="C70" s="6" t="s">
        <v>75</v>
      </c>
      <c r="D70" s="6" t="s">
        <v>254</v>
      </c>
      <c r="E70" s="5" t="s">
        <v>403</v>
      </c>
      <c r="F70" s="6" t="s">
        <v>75</v>
      </c>
      <c r="G70" s="7" t="s">
        <v>72</v>
      </c>
      <c r="H70" s="8">
        <v>5</v>
      </c>
      <c r="I70" s="8">
        <f>H70*(1+汇总!$C$46)</f>
        <v>5.75</v>
      </c>
      <c r="J70" s="5" t="s">
        <v>281</v>
      </c>
      <c r="K70" s="9">
        <v>46315</v>
      </c>
      <c r="L70" s="9">
        <v>46370</v>
      </c>
      <c r="M70" s="6"/>
    </row>
    <row r="71" ht="36" spans="1:13">
      <c r="A71" s="4" t="s">
        <v>42</v>
      </c>
      <c r="B71" s="5" t="s">
        <v>43</v>
      </c>
      <c r="C71" s="6" t="s">
        <v>75</v>
      </c>
      <c r="D71" s="6" t="s">
        <v>255</v>
      </c>
      <c r="E71" s="5" t="s">
        <v>37</v>
      </c>
      <c r="F71" s="6" t="s">
        <v>75</v>
      </c>
      <c r="G71" s="7" t="s">
        <v>72</v>
      </c>
      <c r="H71" s="8">
        <v>7</v>
      </c>
      <c r="I71" s="8">
        <f>H71*(1+汇总!$C$46)</f>
        <v>8.05</v>
      </c>
      <c r="J71" s="5" t="s">
        <v>281</v>
      </c>
      <c r="K71" s="9">
        <v>46315</v>
      </c>
      <c r="L71" s="9">
        <v>46381</v>
      </c>
      <c r="M71" s="6" t="s">
        <v>405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版本交付阶梯图</vt:lpstr>
      <vt:lpstr>汇总</vt:lpstr>
      <vt:lpstr>甘特图-功能点级</vt:lpstr>
      <vt:lpstr>甘特图-任务级</vt:lpstr>
      <vt:lpstr>功能点评估（全栈）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yellow</cp:lastModifiedBy>
  <dcterms:created xsi:type="dcterms:W3CDTF">2026-09-05T11:38:00Z</dcterms:created>
  <dcterms:modified xsi:type="dcterms:W3CDTF">2026-09-16T02:26:40Z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C0D38E0338EA427A8420CA1CA695A8D2_13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