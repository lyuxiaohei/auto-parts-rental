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台-吕道远\5-【ACTIVE】汽车物流包装租赁\"/>
    </mc:Choice>
  </mc:AlternateContent>
  <bookViews>
    <workbookView windowWidth="24750" windowHeight="12080" activeTab="3"/>
  </bookViews>
  <sheets>
    <sheet name="版本交付阶梯图" sheetId="5" r:id="rId1"/>
    <sheet name="汇总" sheetId="1" r:id="rId2"/>
    <sheet name="甘特图-功能点级" sheetId="2" r:id="rId3"/>
    <sheet name="甘特图-任务级" sheetId="3" r:id="rId4"/>
    <sheet name="功能点评估（全栈）" sheetId="4" r:id="rId5"/>
  </sheets>
  <definedNames>
    <definedName name="_xlnm._FilterDatabase" localSheetId="4" hidden="1">'功能点评估（全栈）'!$A$3:$M$70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<sst xmlns="http://schemas.openxmlformats.org/spreadsheetml/2006/main" count="1063" uniqueCount="405">
  <si>
    <t>汇总与折算（公式驱动，唯一维护处）</t>
  </si>
  <si>
    <t>WBS</t>
  </si>
  <si>
    <t>模块/阶段</t>
  </si>
  <si>
    <t>人日小计</t>
  </si>
  <si>
    <t>开始日期</t>
  </si>
  <si>
    <t>结束日期</t>
  </si>
  <si>
    <t>关键风险/依赖</t>
  </si>
  <si>
    <t>A1</t>
  </si>
  <si>
    <t>需求调研与PRD</t>
  </si>
  <si>
    <t>#2 #3 材料未齐即启动，PRD 有返工风险</t>
  </si>
  <si>
    <t>A2</t>
  </si>
  <si>
    <t>原型设计</t>
  </si>
  <si>
    <t>v2.8 已交付，仅评修订量</t>
  </si>
  <si>
    <t>B0</t>
  </si>
  <si>
    <t>公共技术底座</t>
  </si>
  <si>
    <t>B1</t>
  </si>
  <si>
    <t>基础数据</t>
  </si>
  <si>
    <t>B2</t>
  </si>
  <si>
    <t>项目管理中心</t>
  </si>
  <si>
    <t>B3</t>
  </si>
  <si>
    <t>仓储作业 ★核心</t>
  </si>
  <si>
    <t>13 类单据；组装/拆卸为全新逻辑，PRD 冻结前估算偏差大</t>
  </si>
  <si>
    <t>B4</t>
  </si>
  <si>
    <t>包装管理（租赁）</t>
  </si>
  <si>
    <t>#1 计费规则未确认（US-14 暂不在基线）</t>
  </si>
  <si>
    <t>B5</t>
  </si>
  <si>
    <t>订单管理</t>
  </si>
  <si>
    <t>#6 路凯对接方式待定</t>
  </si>
  <si>
    <t>B6</t>
  </si>
  <si>
    <t>财务协同</t>
  </si>
  <si>
    <t>#5 单据/水单样例、#8 开票主体待提供</t>
  </si>
  <si>
    <t>B7</t>
  </si>
  <si>
    <t>系统管理</t>
  </si>
  <si>
    <t>B8</t>
  </si>
  <si>
    <t>采购管理</t>
  </si>
  <si>
    <t>第 2 次会新增模块（09-04 拍板第一期闭环）</t>
  </si>
  <si>
    <t>C1</t>
  </si>
  <si>
    <t>测试</t>
  </si>
  <si>
    <t>用例需覆盖 F01 五条主线全链路</t>
  </si>
  <si>
    <t>C2</t>
  </si>
  <si>
    <t>数据迁移</t>
  </si>
  <si>
    <t>#4 主数据清单与格式待提供</t>
  </si>
  <si>
    <t>C3</t>
  </si>
  <si>
    <t>上线部署</t>
  </si>
  <si>
    <t>试运行窗口待与客户确认</t>
  </si>
  <si>
    <t>合计 / 全跨度</t>
  </si>
  <si>
    <t>版本里程碑（人日 × 上线节点 × 范围，合并原「版本小计 + 里程碑一览」）</t>
  </si>
  <si>
    <t>版本</t>
  </si>
  <si>
    <t>上线 / 完成节点</t>
  </si>
  <si>
    <t>范围与业务</t>
  </si>
  <si>
    <t>含缓冲</t>
  </si>
  <si>
    <t>无AI对照
（方案1·212人日）</t>
  </si>
  <si>
    <t>前置</t>
  </si>
  <si>
    <t>09-07 ~ 09-11 定版</t>
  </si>
  <si>
    <t>走查 45 页 + 计费确认 + PRD 冻结 + 芋道底座/编码规范</t>
  </si>
  <si>
    <t>无AI 09-16</t>
  </si>
  <si>
    <t>V1.0</t>
  </si>
  <si>
    <t>★ 10-16 上线</t>
  </si>
  <si>
    <t>买卖版 17 页：买卖全链 + 库存（查询/调拨/其他出入库）+ 应收/回款 + 权限；零新逻辑</t>
  </si>
  <si>
    <t>无AI 10-30</t>
  </si>
  <si>
    <t>V1.1</t>
  </si>
  <si>
    <t>★ 11-17 上线</t>
  </si>
  <si>
    <t>租赁版 +20 页：租赁循环（组装/租赁单/退租/四态）+ BOM + 丢损赔偿 + 应付简化 + 待办 + 移入的盘点/看板/详情</t>
  </si>
  <si>
    <t>无AI 12-10</t>
  </si>
  <si>
    <t>V2.0</t>
  </si>
  <si>
    <t>★ 12-07 上线</t>
  </si>
  <si>
    <t>深化版 +8 页：租入三单（L3/L4）+ 路凯对接 + 财务收口（开票/水单核销/盈亏）+ 日志字典；旧系统全停用</t>
  </si>
  <si>
    <t>无AI 01-15</t>
  </si>
  <si>
    <t>验收收口</t>
  </si>
  <si>
    <t>12-25 前后</t>
  </si>
  <si>
    <t>试运行 2 周（真实订单并行）+ 年内验收；富余产能启动 2027 backlog</t>
  </si>
  <si>
    <t>无AI 2027-01-31</t>
  </si>
  <si>
    <t>各版</t>
  </si>
  <si>
    <t>10-08 / 11-09 / 12-01 启动</t>
  </si>
  <si>
    <t>测试 / UAT / 数据迁移 / 部署 / 切换 / 试运行——每版上线前各跑一轮（单轮 15 人日×3）</t>
  </si>
  <si>
    <t>—</t>
  </si>
  <si>
    <t>版本人日合计（校验=总合计 C18）</t>
  </si>
  <si>
    <t>按月负载（原「按月版本规划」主体并入）</t>
  </si>
  <si>
    <t>月份</t>
  </si>
  <si>
    <t>计划人日
（含缓冲）</t>
  </si>
  <si>
    <t>当月产能
（人日）</t>
  </si>
  <si>
    <t>负载率</t>
  </si>
  <si>
    <t>当月里程碑与内容摘要</t>
  </si>
  <si>
    <t>2026-09</t>
  </si>
  <si>
    <t>09-09 底座+规范就绪；09-11 PRD 冻结；09-10 起 V1.0 全量开发（基础数据/项目域/买卖链），09-30 功能开发完成｜注：本列计划人日=按行级排期逐日分摊（09-07 重排后口径）；9 月 110% 负载系 A1-03 由 Claude 并行起草、徐蔚 V1.0 后闲窗提前开工 V1.1 所致，人工产能按 3 人计、总量已含 15% 缓冲</t>
  </si>
  <si>
    <t>2026-10</t>
  </si>
  <si>
    <t>10-08~15 轮1：集成测试/UAT/主数据迁移/部署；★10-16 V1.0 买卖版上线（17 页）；10-19 起 V1.1 主开发（国庆仅 16 工作日，满负荷）</t>
  </si>
  <si>
    <t>2026-11</t>
  </si>
  <si>
    <t>11-06 V1.1 开发完成；11-09~16 轮2（BOM/在租迁移）；★11-17 V1.1 租赁版上线（累计 37 页）；11-17~26 V2.0 开发</t>
  </si>
  <si>
    <t>2026-12</t>
  </si>
  <si>
    <t>12-01~04 轮3（租入在途迁移/部署）；★12-07 V2.0 全量上线（45 页）；12-07~18 试运行；12-25 前后项目验收收口</t>
  </si>
  <si>
    <t>合计</t>
  </si>
  <si>
    <t>AI 协作（Claude Code）前提与风险</t>
  </si>
  <si>
    <t>R1 评审带宽</t>
  </si>
  <si>
    <t>AI 产出量大，3 名工程师须固定每日代码评审时段消化</t>
  </si>
  <si>
    <t>R2 风格统一</t>
  </si>
  <si>
    <t>底座周（09-09~10）必须落编码规范与组件约定，统一三套 AI 风格</t>
  </si>
  <si>
    <t>R3 关键逻辑</t>
  </si>
  <si>
    <t>库存过账/组装拆卸/四态计费/水单核销以人工设计主导，勿盲信 AI 产出</t>
  </si>
  <si>
    <t>R4 磨合回退</t>
  </si>
  <si>
    <t>若 AI 协作磨合不顺（提速退化），工期按 212 人日口径上浮，里程碑顺延</t>
  </si>
  <si>
    <t>R5 外部依赖</t>
  </si>
  <si>
    <t>#6 路凯对接方式、#5 水单样例、#8 开票主体——未定项集中在 V2.0 前必须落实</t>
  </si>
  <si>
    <t>参数与折算</t>
  </si>
  <si>
    <t>缓冲比例</t>
  </si>
  <si>
    <t>已填 15%（覆盖联调与管理裕度）</t>
  </si>
  <si>
    <t>投入人数</t>
  </si>
  <si>
    <t>已填 3（对应 P1-R01 第八节 #9）</t>
  </si>
  <si>
    <t>每月工作日</t>
  </si>
  <si>
    <t>人月折算基准</t>
  </si>
  <si>
    <t>含缓冲合计（人日）</t>
  </si>
  <si>
    <t>自动：合计×(1+缓冲)</t>
  </si>
  <si>
    <t>日历工期（月）</t>
  </si>
  <si>
    <t>自动</t>
  </si>
  <si>
    <t>日历工期（周）</t>
  </si>
  <si>
    <t>甘特图 · WBS × 版本（30 行概览版）</t>
  </si>
  <si>
    <t>口径：横轴为工作日（09-07 ~ 12-25，共 75 天，已跳双休与国庆 10-01~07）；每条 = 该版本下该模块全部任务的实际起止（快照自「功能点评估（全栈）」，重排后需刷新）；红竖列 = 版本上线里程碑（10-16 / 11-17 / 12-07 / 12-25 验收）；蓝竖列 = 今日。</t>
  </si>
  <si>
    <t>模块 / 内容</t>
  </si>
  <si>
    <t>人日</t>
  </si>
  <si>
    <t>开始</t>
  </si>
  <si>
    <t>结束</t>
  </si>
  <si>
    <t>2026-10（国庆后）</t>
  </si>
  <si>
    <t>前置（09-07 ~ 09-11）</t>
  </si>
  <si>
    <t>需求调研与 PRD（走查/计费/评审冻结）</t>
  </si>
  <si>
    <t>原型修订与定稿</t>
  </si>
  <si>
    <t>技术底座（脚手架/登录/通用组件）</t>
  </si>
  <si>
    <t>V1.0 买卖版 ★ 10-16 上线</t>
  </si>
  <si>
    <t>基础数据：档案五件套（除 BOM）</t>
  </si>
  <si>
    <t>项目域：编码规则 + 上下游绑定</t>
  </si>
  <si>
    <t>仓储：采购入库/库存查询/出入库/调拨</t>
  </si>
  <si>
    <t>订单：代下单 + 审核</t>
  </si>
  <si>
    <t>财务：应收账单 + 回款</t>
  </si>
  <si>
    <t>用户权限</t>
  </si>
  <si>
    <t>采购管理：订单/审核/入库发起/销售订单</t>
  </si>
  <si>
    <t>V1.1 租赁版 ★ 11-17 上线</t>
  </si>
  <si>
    <t>BOM 维护（版本 + 配比校验）</t>
  </si>
  <si>
    <t>看板 / 详情 / 我的待办</t>
  </si>
  <si>
    <t>组装★ / 组合出库 / 退租 / 拆卸</t>
  </si>
  <si>
    <t>包装管理：租赁单/四态/赔偿/退租申请</t>
  </si>
  <si>
    <t>应付账单（简化）+ 付款登记</t>
  </si>
  <si>
    <t>V2.0 深化版 ★ 12-07 上线</t>
  </si>
  <si>
    <t>租入入库 / 租入归还</t>
  </si>
  <si>
    <t>路凯订单同步 + 结算导出</t>
  </si>
  <si>
    <t>开票 / 水单核销★ / 项目盈亏</t>
  </si>
  <si>
    <t>操作日志 + 数据字典</t>
  </si>
  <si>
    <t>租入单</t>
  </si>
  <si>
    <t>各版支撑（测试 / 迁移 / 上线 · 每版一轮）</t>
  </si>
  <si>
    <t>集成测试 / UAT（轮1·2·3）</t>
  </si>
  <si>
    <t>数据迁移（主数据/期初/核对）</t>
  </si>
  <si>
    <t>部署 / 上线切换 / 试运行</t>
  </si>
  <si>
    <t>甘特图 · 任务级（66 行全量）</t>
  </si>
  <si>
    <t>口径：横轴 75 个工作日（09-07~12-25，跳双休与国庆）；每行 = 一个功能点任务，条色按版本；红竖列 = 上线里程碑；黄竖列 = 今日。与「功能点评估（全栈）」1:1，改排期后需刷新。</t>
  </si>
  <si>
    <t>功能点</t>
  </si>
  <si>
    <t>任务</t>
  </si>
  <si>
    <t>9月</t>
  </si>
  <si>
    <t>10月</t>
  </si>
  <si>
    <t>11月</t>
  </si>
  <si>
    <t>12月</t>
  </si>
  <si>
    <t>原型页面走查与字段确认（45 页逐页过…</t>
  </si>
  <si>
    <t>计费规则与单据流程确认（含四态计费口径）</t>
  </si>
  <si>
    <t>PRD 编写（按模块分册，以原型页面为…</t>
  </si>
  <si>
    <t>PRD 评审与范围冻结</t>
  </si>
  <si>
    <t>原型按评审反馈修订</t>
  </si>
  <si>
    <t>原型评审确认与定稿</t>
  </si>
  <si>
    <t>工程脚手架与 CI/CD</t>
  </si>
  <si>
    <t>登录认证与框架权限</t>
  </si>
  <si>
    <t>通用组件（单据/列表/导入导出/弹窗/…</t>
  </si>
  <si>
    <t>FP1-01</t>
  </si>
  <si>
    <t>项目档案：页面 + 表结构与接口</t>
  </si>
  <si>
    <t>FP1-02</t>
  </si>
  <si>
    <t>客商管理：三类客商档案（含开票资料）</t>
  </si>
  <si>
    <t>FP1-03</t>
  </si>
  <si>
    <t>器具档案：页面 + 接口</t>
  </si>
  <si>
    <t>FP1-04</t>
  </si>
  <si>
    <t>零部件档案：页面 + 接口</t>
  </si>
  <si>
    <t>FP1-06</t>
  </si>
  <si>
    <t>库位档案：页面 + 接口（仓/区/位三…</t>
  </si>
  <si>
    <t>FP2-01</t>
  </si>
  <si>
    <t>项目编码规则：规则引擎 + 配置</t>
  </si>
  <si>
    <t>FP2-02</t>
  </si>
  <si>
    <t>上下游绑定：关系维护 + 模型接口</t>
  </si>
  <si>
    <t>FP3-01</t>
  </si>
  <si>
    <t>采购入库单（执行）：录单 + 入库过账…</t>
  </si>
  <si>
    <t>FP3-06</t>
  </si>
  <si>
    <t>库存查询：零件/组合双视角 + 库存流水</t>
  </si>
  <si>
    <t>（待补）</t>
  </si>
  <si>
    <t>销售出库单：录单 + 出库过账（买卖线…</t>
  </si>
  <si>
    <t>其他入库单：无单据来源杂项入库</t>
  </si>
  <si>
    <t>其他出库单：报废/杂项出库</t>
  </si>
  <si>
    <t>库存调拨单：库间调拨 + 过账</t>
  </si>
  <si>
    <t>FP5-01</t>
  </si>
  <si>
    <t>订单管理（代下单）：项目经理代客户下单…</t>
  </si>
  <si>
    <t>FP5-02</t>
  </si>
  <si>
    <t>订单审核：工作台 + 审核流转</t>
  </si>
  <si>
    <t>FP6-01</t>
  </si>
  <si>
    <t>应收账单生成：归集规则 + 账单页</t>
  </si>
  <si>
    <t>FP6-03</t>
  </si>
  <si>
    <t>回款登记：到账录入 + 关联</t>
  </si>
  <si>
    <t>FP7-01</t>
  </si>
  <si>
    <t>组织与权限：用户/角色/数据权限（我方…</t>
  </si>
  <si>
    <t>FP8-01</t>
  </si>
  <si>
    <t>采购订单：新建 + 列表（先销后采/先…</t>
  </si>
  <si>
    <t>FP8-02</t>
  </si>
  <si>
    <t>采购订单审核：状态流（待提交/待审核/…</t>
  </si>
  <si>
    <t>FP8-03</t>
  </si>
  <si>
    <t>采购入库（发起）：到货登记关联采购订单</t>
  </si>
  <si>
    <t>FP8-04</t>
  </si>
  <si>
    <t>销售订单（买卖线）：客户购买订单</t>
  </si>
  <si>
    <t>FP1-05</t>
  </si>
  <si>
    <t>子母件 BOM：维护页 + 版本管理与…</t>
  </si>
  <si>
    <t>FP2-03</t>
  </si>
  <si>
    <t>项目看板：图表页 + 统计接口</t>
  </si>
  <si>
    <t>FP2-04</t>
  </si>
  <si>
    <t>明细查看：从汇总数据进入单据明细</t>
  </si>
  <si>
    <t>我的待办：18 类待办聚合入口</t>
  </si>
  <si>
    <t>FP3-02 ★新增</t>
  </si>
  <si>
    <t>组装单：录单 + 库存转换引擎（A+B…</t>
  </si>
  <si>
    <t>FP3-03</t>
  </si>
  <si>
    <t>组合出库单：录单 + 出库过账与台账联动</t>
  </si>
  <si>
    <t>FP3-04</t>
  </si>
  <si>
    <t>退租入库验收单：按零件核对缺损并记明细</t>
  </si>
  <si>
    <t>FP3-05</t>
  </si>
  <si>
    <t>盘点单：零件/组合双口径 + 盘盈亏过账</t>
  </si>
  <si>
    <t>拆卸单：C→A+B 逆向、散件回库</t>
  </si>
  <si>
    <t>FP4-01</t>
  </si>
  <si>
    <t>租出台账：页面 + 接口</t>
  </si>
  <si>
    <t>FP4-02</t>
  </si>
  <si>
    <t>在租台账：在库/在途/客户端/退租四态…</t>
  </si>
  <si>
    <t>FP4-03</t>
  </si>
  <si>
    <t>循环状态与计费：状态流转 + 按数量结算</t>
  </si>
  <si>
    <t>FP4-04</t>
  </si>
  <si>
    <t>丢损赔偿单：退租缺损自动生成赔偿应收</t>
  </si>
  <si>
    <t>FP4-05</t>
  </si>
  <si>
    <t>租赁单（出租）：向客户租出、生成租赁单</t>
  </si>
  <si>
    <t>退租申请：客户退租入口，触发验收</t>
  </si>
  <si>
    <t>FP6-06 ★新增</t>
  </si>
  <si>
    <t>应付账单：采购/租入自动生成应付（第一…</t>
  </si>
  <si>
    <t>FP6-07 ★新增</t>
  </si>
  <si>
    <t>付款登记：银行付款录入，关联应付</t>
  </si>
  <si>
    <t>租入入库单：租入包装验收入库（L3/L…</t>
  </si>
  <si>
    <t>租入归还单：归还供应商出库（L3/L4）</t>
  </si>
  <si>
    <t>FP5-03</t>
  </si>
  <si>
    <t>订单同步（路凯）：同步通道 + 记录重发</t>
  </si>
  <si>
    <t>FP5-04</t>
  </si>
  <si>
    <t>结算数据导出：数据生成 + 传递</t>
  </si>
  <si>
    <t>FP6-02</t>
  </si>
  <si>
    <t>开票登记与发票上传：登记 + 应收关联</t>
  </si>
  <si>
    <t>FP6-04 ★补缺</t>
  </si>
  <si>
    <t>银行水单核销：导入勾对 + 部分核销 …</t>
  </si>
  <si>
    <t>FP6-05</t>
  </si>
  <si>
    <t>项目盈亏报表：汇总计算 + 报表页</t>
  </si>
  <si>
    <t>FP7-02</t>
  </si>
  <si>
    <t>操作日志：埋点存储 + 查询页</t>
  </si>
  <si>
    <t>FP7-03</t>
  </si>
  <si>
    <t>数据字典：字典管理 + 配置页</t>
  </si>
  <si>
    <t>租入单：向路凯/供应商租入包装（L3/…</t>
  </si>
  <si>
    <t>集成测试用例编写与执行</t>
  </si>
  <si>
    <t>UAT 支持与缺陷修复</t>
  </si>
  <si>
    <t>主数据整理与导入模板</t>
  </si>
  <si>
    <t>期初库存与在租数据迁移（含租入在途）</t>
  </si>
  <si>
    <t>迁移核对与差异处理</t>
  </si>
  <si>
    <t>环境部署与发布</t>
  </si>
  <si>
    <t>上线切换与并行期支持</t>
  </si>
  <si>
    <t>线上试运行与并行验证（真实订单并行跑、…</t>
  </si>
  <si>
    <t>P1-R03 工期评估表 · 功能点级（全栈口径）</t>
  </si>
  <si>
    <t>口径：人日含概要设计+编码+自测；每功能点一行、不分前后端（类型=全栈）。2026-09-05 按方案二（买卖先行）标定「版本」列：V1.0 买卖版 21 页 / V1.1 租赁版 +16 页 / V2.0 深化版 +8 页，前置=调研+底座、各版=测试迁移上线每版重复投入。标（待补）的 10 行为原型已有但 §5.1 未编 FP 码的页面。人日/评估人/开始/结束全部留白，由道远与开发逐行填写；上一版估算归档于 99-归档/P1-R03-工期评估表-20260905.xlsx。｜2026-09-06 更新：按 3 名全栈开发、2026-09-07~09-10 芋道（yudao）JDK21 底座搭建、09-10 起业务开发、原型基本确定（前置压缩）口径填入人日初评；「各版」行 H=单轮人日×3 版；评估人/起止列留白待道远与开发复核微调。｜2026-09-06 二次调整：为赶 V1.0 于 2026-10-30 上线，盘点单（FP3-05）/项目看板（FP2-03）/项目详情（FP2-04）共 8.5 人日移至 V1.1——V1.0 缩为 17 页、V1.1 扩为 +20 页，总人日不变。｜2026-09-06 方案 2.0：3 名全栈全部借助 Claude Code vibe coding，按净提速口径重估——列表/弹窗/文档类×0.6、录单+过账×0.7、复杂业务逻辑（库存过账/组装拆卸/计费/核销/路凯对接）×0.75~0.85（人工设计主导）、调研评审不提速；整体 212→149 人日（-29.6%），15% 缓冲与版本范围不变。｜I 列「含缓冲人日」=H×(1+汇总!C30) 自动计算，与「按月版本规划」口径统一（171.35），汇报用 I 列。</t>
  </si>
  <si>
    <t>类型</t>
  </si>
  <si>
    <t>对应原型页面</t>
  </si>
  <si>
    <t>含缓冲人日
（=人日×1.15）</t>
  </si>
  <si>
    <t>评估人</t>
  </si>
  <si>
    <t>开始时间</t>
  </si>
  <si>
    <t>结束时间</t>
  </si>
  <si>
    <t>备注（风险/依赖）</t>
  </si>
  <si>
    <t>原型页面走查与字段确认（45 页逐页过、与吉客云/路凯现状对照）</t>
  </si>
  <si>
    <t>调研</t>
  </si>
  <si>
    <t>45 页全量</t>
  </si>
  <si>
    <t>吕道远</t>
  </si>
  <si>
    <t>依赖 #2 #3：账号或全套截图；走查结论直接落到 PRD</t>
  </si>
  <si>
    <t>依赖 #1 #5：合同/报价单、单据样例</t>
  </si>
  <si>
    <t>PRD 编写（按模块分册，以原型页面为底稿）</t>
  </si>
  <si>
    <t>文档</t>
  </si>
  <si>
    <t>客户确认后冻结范围，原型同步定稿</t>
  </si>
  <si>
    <t>原型</t>
  </si>
  <si>
    <t>涉及页视反馈</t>
  </si>
  <si>
    <t>v2.8 已交付（45 页 + 79 弹窗 + F01 导航图），仅评修订量，勿按全量重估</t>
  </si>
  <si>
    <t>45 页全量 + F01</t>
  </si>
  <si>
    <t>与 PRD 冻结同节点收口</t>
  </si>
  <si>
    <t>全栈</t>
  </si>
  <si>
    <t>徐蔚</t>
  </si>
  <si>
    <t>本表新增项，非 P1-R01 功能点，评估时确认保留</t>
  </si>
  <si>
    <t>原型未含登录页，按通用方案实现</t>
  </si>
  <si>
    <t>通用组件（单据/列表/导入导出/弹窗/四段式详情）</t>
  </si>
  <si>
    <t>全站</t>
  </si>
  <si>
    <t>复刻原型交互；79 个弹窗模板与四段式详情组件可直接参照</t>
  </si>
  <si>
    <t>项目档案</t>
  </si>
  <si>
    <t>客商管理</t>
  </si>
  <si>
    <t>器具档案</t>
  </si>
  <si>
    <t>零部件档案</t>
  </si>
  <si>
    <t>子母件 BOM：维护页 + 版本管理与配比校验</t>
  </si>
  <si>
    <t>BOM + BOM维护（2页）</t>
  </si>
  <si>
    <t>配比错误需拦截；BOM 仅租赁域使用，随租赁版上线</t>
  </si>
  <si>
    <t>库位档案：页面 + 接口（仓/区/位三级）</t>
  </si>
  <si>
    <t>库位档案</t>
  </si>
  <si>
    <t>预留扫码接口（REQ-20）</t>
  </si>
  <si>
    <t>项目档案（编码规则弹窗）</t>
  </si>
  <si>
    <t>项目档案（上下游绑定弹窗）</t>
  </si>
  <si>
    <t>首页·项目看板</t>
  </si>
  <si>
    <t>V1.0→V1.1（2026-09-06 赶 10 月上线范围调整）</t>
  </si>
  <si>
    <t>项目详情</t>
  </si>
  <si>
    <t>首页·我的待办</t>
  </si>
  <si>
    <t>FP 码待补（§5.1 未编）；聚合各模块待办，单据类型齐了才有意义，随租赁版</t>
  </si>
  <si>
    <t>采购入库单（执行）：录单 + 入库过账与库存更新</t>
  </si>
  <si>
    <t>采购入库 列表+录单（2页）</t>
  </si>
  <si>
    <t>V1.0 无采购订单时先手工入库（同吉客云现状），V1.0 内衔接 FP8-03 凭单发起</t>
  </si>
  <si>
    <t>组装单：录单 + 库存转换引擎（A+B→C）</t>
  </si>
  <si>
    <t>组装 列表+录单（2页）</t>
  </si>
  <si>
    <t>新逻辑：组装动作首次入系统；组装后散件转成品库存</t>
  </si>
  <si>
    <t>组合出库 列表+录单（2页）</t>
  </si>
  <si>
    <t>退租入库列表（审核弹窗）</t>
  </si>
  <si>
    <t>由退租申请（B4）触发；退租入库加拆散去向（v2.8）</t>
  </si>
  <si>
    <t>盘点 列表+录入（2页）</t>
  </si>
  <si>
    <t>库存查询（含流水弹窗）</t>
  </si>
  <si>
    <t>销售出库单：录单 + 出库过账（买卖线出库执行）</t>
  </si>
  <si>
    <t>销售出库列表（新建/审核弹窗）</t>
  </si>
  <si>
    <t>FP 码待补；买卖线核心出库单</t>
  </si>
  <si>
    <t>其他入库列表（新建/审核弹窗）</t>
  </si>
  <si>
    <t>FP 码待补</t>
  </si>
  <si>
    <t>其他出库列表（新建/审核弹窗）</t>
  </si>
  <si>
    <t>库存调拨列表（新建/审核弹窗）</t>
  </si>
  <si>
    <t>拆卸管理列表（新建/审核弹窗）</t>
  </si>
  <si>
    <t>FP 码待补；组装逆向，应对日计划变更</t>
  </si>
  <si>
    <t>租入入库单：租入包装验收入库（L3/L4）</t>
  </si>
  <si>
    <t>租入入库列表（确认弹窗）</t>
  </si>
  <si>
    <t>FP 码待补；租入体系独立单据（09-04 拍板）</t>
  </si>
  <si>
    <t>租入归还列表（新建/审核弹窗）</t>
  </si>
  <si>
    <t>租出台账</t>
  </si>
  <si>
    <t>资产来源标记（v2.8）</t>
  </si>
  <si>
    <t>在租台账：在库/在途/客户端/退租四态统计</t>
  </si>
  <si>
    <t>在租台账（器具出租履历弹窗）</t>
  </si>
  <si>
    <t>在租台账（状态操作）</t>
  </si>
  <si>
    <t>#1 计费规则未确认；租金自动计费（US-14）暂不在基线</t>
  </si>
  <si>
    <t>丢损赔偿单（审核/报废弹窗）</t>
  </si>
  <si>
    <t>按对象转单据：客户→应收 / 运营方·供应商→应付（道远 09-04 拍板）</t>
  </si>
  <si>
    <t>租赁单列表（新建/审核弹窗）</t>
  </si>
  <si>
    <t>替代原「客户下单」，关联项目与客户</t>
  </si>
  <si>
    <t>退租申请列表（新建/审核弹窗）</t>
  </si>
  <si>
    <t>FP 码待补；L4 退租申请节点（v2.8）</t>
  </si>
  <si>
    <t>订单管理（代下单）：项目经理代客户下单、统一订单列表</t>
  </si>
  <si>
    <t>销售订单列表（租赁/买卖两用）</t>
  </si>
  <si>
    <t>REQ-07：客户发 PO、不再分客户端；V1.0 先跑买卖线订单</t>
  </si>
  <si>
    <t>销售订单审核弹窗</t>
  </si>
  <si>
    <t>后台通道（无独立页）</t>
  </si>
  <si>
    <t>#6 对接方式待定，评估按导出/接口两档</t>
  </si>
  <si>
    <t>后台逻辑 + 导出入口</t>
  </si>
  <si>
    <t>#6 结算格式待路凯方提供</t>
  </si>
  <si>
    <t>应收账单（生成/详情弹窗）</t>
  </si>
  <si>
    <t>开票登记（新建/详情弹窗）</t>
  </si>
  <si>
    <t>依赖 #8 开票主体信息</t>
  </si>
  <si>
    <t>回款登记（收款登记弹窗）</t>
  </si>
  <si>
    <t>银行水单核销：导入勾对 + 部分核销 + 对账联调</t>
  </si>
  <si>
    <t>银行水单核销（勾对工作台）</t>
  </si>
  <si>
    <t>现状缺失环节；依赖 #5 水单样例</t>
  </si>
  <si>
    <t>盈亏报表</t>
  </si>
  <si>
    <t>须应收应付数据齐后才准</t>
  </si>
  <si>
    <t>应付账单：采购/租入自动生成应付（第一期简化）</t>
  </si>
  <si>
    <t>应付账单（新建/详情弹窗）</t>
  </si>
  <si>
    <t>REQ-21；V1.1 简化版（登记+记录），完整核销流 V2.0</t>
  </si>
  <si>
    <t>付款登记（新建/付款确认弹窗）</t>
  </si>
  <si>
    <t>REQ-21</t>
  </si>
  <si>
    <t>组织与权限：用户/角色/数据权限（我方/客户区分）</t>
  </si>
  <si>
    <t>用户权限（角色管理弹窗）</t>
  </si>
  <si>
    <t>操作日志</t>
  </si>
  <si>
    <t>数据字典（新增字典项弹窗）</t>
  </si>
  <si>
    <t>采购订单：新建 + 列表（先销后采/先采后销）</t>
  </si>
  <si>
    <t>采购订单列表（新建/详情弹窗）</t>
  </si>
  <si>
    <t>B1 采购线（09-04 拍板，不以销定采）</t>
  </si>
  <si>
    <t>采购订单审核：状态流（待提交/待审核/已完成）</t>
  </si>
  <si>
    <t>采购订单审核弹窗</t>
  </si>
  <si>
    <t>采购入库列表（凭单验收注记）</t>
  </si>
  <si>
    <t>执行由 FP3-01 承接</t>
  </si>
  <si>
    <t>销售订单列表（与 FP5-01 同页两线）</t>
  </si>
  <si>
    <t>审核后走销售出库（B3·V1.0）</t>
  </si>
  <si>
    <t>租入单：向路凯/供应商租入包装（L3/L4）</t>
  </si>
  <si>
    <t>租入单列表（新建/审核弹窗）</t>
  </si>
  <si>
    <t>FP 码待补；租入体系起点，触发租入入库</t>
  </si>
  <si>
    <t>F01 导航图 v2.8</t>
  </si>
  <si>
    <t>覆盖 F01 五条主线（B1 销售/采购双线、L1~L4）+ S1~S7 支线 + 应收/应付财务通道；每版上线前各跑一轮</t>
  </si>
  <si>
    <t>迁移</t>
  </si>
  <si>
    <t>依赖 #4 主数据清单；V1.0 前导客商/器具/零部件，V1.1 前导 BOM 与在租</t>
  </si>
  <si>
    <t>依赖 #5 现有台账导出；买卖库存随 V1.0、在租四态随 V1.1、租入在途随 V2.0</t>
  </si>
  <si>
    <t>部署</t>
  </si>
  <si>
    <t>三版各发布一次</t>
  </si>
  <si>
    <t>线上试运行与并行验证（真实订单并行跑、问题快速响应）</t>
  </si>
  <si>
    <t>建议每版预留试运行窗口（V1.0 2~4 周、后续版 1~2 周），客户验收后转正式运行</t>
  </si>
  <si>
    <t>合计（人日）</t>
  </si>
  <si>
    <t>颜色图例</t>
  </si>
  <si>
    <t>表头（白字）</t>
  </si>
  <si>
    <t>WBS 编号列</t>
  </si>
  <si>
    <t>版本 = V1.0 买卖版</t>
  </si>
  <si>
    <t>版本 = V1.1 租赁版</t>
  </si>
  <si>
    <t>版本 = V2.0 深化版</t>
  </si>
  <si>
    <t>前置/各版 + 公式自动计算（勿手改）</t>
  </si>
  <si>
    <t>FP 码待补行（§5.1 未编）</t>
  </si>
  <si>
    <t>风险条目（按月表 R1~R5）</t>
  </si>
  <si>
    <t>待填（现仅汇总表缓冲/人数 2 格）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</si>
</sst>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  <numFmt numFmtId="177" formatCode="d"/>
    <numFmt numFmtId="178" formatCode="m/d"/>
    <numFmt numFmtId="179" formatCode="0.0%"/>
  </numFmts>
  <fonts count="3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595959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b/>
      <sz val="10"/>
      <color rgb="FF1F4E79"/>
      <name val="微软雅黑"/>
      <charset val="134"/>
    </font>
    <font>
      <b/>
      <sz val="13"/>
      <color rgb="FF1F4E79"/>
      <name val="微软雅黑"/>
      <charset val="134"/>
    </font>
    <font>
      <sz val="9"/>
      <color rgb="FF595959"/>
      <name val="微软雅黑"/>
      <charset val="134"/>
    </font>
    <font>
      <b/>
      <sz val="10"/>
      <color rgb="FFFFFFFF"/>
      <name val="微软雅黑"/>
      <charset val="134"/>
    </font>
    <font>
      <b/>
      <sz val="9"/>
      <color rgb="FF1F4E79"/>
      <name val="微软雅黑"/>
      <charset val="134"/>
    </font>
    <font>
      <sz val="8"/>
      <color rgb="FF595959"/>
      <name val="微软雅黑"/>
      <charset val="134"/>
    </font>
    <font>
      <b/>
      <sz val="9"/>
      <color rgb="FFFFFFFF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b/>
      <sz val="10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DF0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2E6BB0"/>
        <bgColor indexed="64"/>
      </patternFill>
    </fill>
    <fill>
      <patternFill patternType="solid">
        <fgColor rgb="FF4A7C3F"/>
        <bgColor indexed="64"/>
      </patternFill>
    </fill>
    <fill>
      <patternFill patternType="solid">
        <fgColor rgb="FFB3652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8" borderId="7" applyNumberFormat="0" applyAlignment="0" applyProtection="0">
      <alignment vertical="center"/>
    </xf>
    <xf numFmtId="0" fontId="25" fillId="19" borderId="8" applyNumberFormat="0" applyAlignment="0" applyProtection="0">
      <alignment vertical="center"/>
    </xf>
    <xf numFmtId="0" fontId="26" fillId="19" borderId="7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</cellStyleXfs>
  <cellXfs count="75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0" fillId="2" borderId="1" xfId="0" applyFill="1" applyBorder="1"/>
    <xf numFmtId="0" fontId="4" fillId="0" borderId="0" xfId="0" applyFont="1" applyBorder="1" applyAlignment="1">
      <alignment horizontal="left" vertical="center"/>
    </xf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7" fillId="0" borderId="0" xfId="0" applyFont="1" applyBorder="1"/>
    <xf numFmtId="0" fontId="8" fillId="0" borderId="0" xfId="0" applyFont="1" applyBorder="1"/>
    <xf numFmtId="0" fontId="9" fillId="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0" fillId="0" borderId="1" xfId="0" applyBorder="1"/>
    <xf numFmtId="177" fontId="11" fillId="0" borderId="1" xfId="0" applyNumberFormat="1" applyFont="1" applyBorder="1" applyAlignment="1">
      <alignment horizontal="center" vertical="center"/>
    </xf>
    <xf numFmtId="0" fontId="12" fillId="13" borderId="1" xfId="0" applyFont="1" applyFill="1" applyBorder="1"/>
    <xf numFmtId="0" fontId="0" fillId="0" borderId="2" xfId="0" applyBorder="1"/>
    <xf numFmtId="0" fontId="0" fillId="0" borderId="3" xfId="0" applyBorder="1"/>
    <xf numFmtId="0" fontId="0" fillId="13" borderId="1" xfId="0" applyFill="1" applyBorder="1"/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indent="1"/>
    </xf>
    <xf numFmtId="178" fontId="0" fillId="0" borderId="1" xfId="0" applyNumberFormat="1" applyBorder="1" applyAlignment="1">
      <alignment horizontal="center" vertical="center"/>
    </xf>
    <xf numFmtId="0" fontId="12" fillId="14" borderId="1" xfId="0" applyFont="1" applyFill="1" applyBorder="1"/>
    <xf numFmtId="0" fontId="0" fillId="14" borderId="1" xfId="0" applyFill="1" applyBorder="1"/>
    <xf numFmtId="0" fontId="12" fillId="15" borderId="1" xfId="0" applyFont="1" applyFill="1" applyBorder="1"/>
    <xf numFmtId="0" fontId="0" fillId="15" borderId="1" xfId="0" applyFill="1" applyBorder="1"/>
    <xf numFmtId="0" fontId="12" fillId="16" borderId="1" xfId="0" applyFont="1" applyFill="1" applyBorder="1"/>
    <xf numFmtId="0" fontId="0" fillId="16" borderId="1" xfId="0" applyFill="1" applyBorder="1"/>
    <xf numFmtId="176" fontId="4" fillId="4" borderId="1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4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left" vertical="center" wrapText="1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9" fontId="14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179" fontId="0" fillId="4" borderId="1" xfId="0" applyNumberFormat="1" applyFill="1" applyBorder="1" applyAlignment="1">
      <alignment horizontal="center" vertical="center" wrapText="1"/>
    </xf>
    <xf numFmtId="0" fontId="15" fillId="0" borderId="0" xfId="0" applyFont="1" applyBorder="1"/>
    <xf numFmtId="0" fontId="13" fillId="10" borderId="1" xfId="0" applyFont="1" applyFill="1" applyBorder="1" applyAlignment="1">
      <alignment horizontal="left" vertical="center" wrapText="1"/>
    </xf>
    <xf numFmtId="0" fontId="14" fillId="0" borderId="0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EC"/>
          <bgColor rgb="FFFCE4EC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7E6E6"/>
          <bgColor rgb="FFE7E6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17</xdr:col>
      <xdr:colOff>3810</xdr:colOff>
      <xdr:row>39</xdr:row>
      <xdr:rowOff>16510</xdr:rowOff>
    </xdr:to>
    <xdr:pic>
      <xdr:nvPicPr>
        <xdr:cNvPr id="2" name="图片 1" descr="2026-09-07_11354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350"/>
          <a:ext cx="10360660" cy="694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45" zoomScaleNormal="145" workbookViewId="0">
      <selection activeCell="T38" sqref="T38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showGridLines="0" workbookViewId="0">
      <pane ySplit="3" topLeftCell="A4" activePane="bottomLeft" state="frozen"/>
      <selection/>
      <selection pane="bottomLeft" activeCell="G4" sqref="G4"/>
    </sheetView>
  </sheetViews>
  <sheetFormatPr defaultColWidth="9" defaultRowHeight="14" outlineLevelCol="7"/>
  <cols>
    <col min="1" max="1" width="10" customWidth="1"/>
    <col min="2" max="2" width="20" customWidth="1"/>
    <col min="3" max="3" width="52" customWidth="1"/>
    <col min="4" max="5" width="10" customWidth="1"/>
    <col min="6" max="7" width="12" customWidth="1"/>
    <col min="8" max="8" width="15" customWidth="1"/>
  </cols>
  <sheetData>
    <row r="1" ht="18" customHeight="1" spans="1:6">
      <c r="A1" s="1" t="s">
        <v>0</v>
      </c>
    </row>
    <row r="3" ht="14.5" customHeight="1" spans="1: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ht="26" customHeight="1" spans="1:6">
      <c r="A4" s="4" t="s">
        <v>7</v>
      </c>
      <c r="B4" s="5" t="s">
        <v>8</v>
      </c>
      <c r="C4" s="51">
        <f>SUMIF('功能点评估（全栈）'!$A$4:$A$69,$A4,'功能点评估（全栈）'!$H$4:$H$69)</f>
        <v>6</v>
      </c>
      <c r="D4" s="52">
        <f>IF(COUNT('功能点评估（全栈）'!K4:K7)=0,"",MIN('功能点评估（全栈）'!K4:K7))</f>
        <v>46272</v>
      </c>
      <c r="E4" s="52">
        <f>IF(COUNT('功能点评估（全栈）'!L4:L7)=0,"",MAX('功能点评估（全栈）'!L4:L7))</f>
        <v>46276</v>
      </c>
      <c r="F4" s="5" t="s">
        <v>9</v>
      </c>
    </row>
    <row r="5" ht="26" customHeight="1" spans="1:6">
      <c r="A5" s="4" t="s">
        <v>10</v>
      </c>
      <c r="B5" s="5" t="s">
        <v>11</v>
      </c>
      <c r="C5" s="51">
        <f>SUMIF('功能点评估（全栈）'!$A$4:$A$69,$A5,'功能点评估（全栈）'!$H$4:$H$69)</f>
        <v>1</v>
      </c>
      <c r="D5" s="52">
        <f>IF(COUNT('功能点评估（全栈）'!K8:K9)=0,"",MIN('功能点评估（全栈）'!K8:K9))</f>
        <v>46275</v>
      </c>
      <c r="E5" s="52">
        <f>IF(COUNT('功能点评估（全栈）'!L8:L9)=0,"",MAX('功能点评估（全栈）'!L8:L9))</f>
        <v>46276</v>
      </c>
      <c r="F5" s="5" t="s">
        <v>12</v>
      </c>
    </row>
    <row r="6" spans="1:6">
      <c r="A6" s="4" t="s">
        <v>13</v>
      </c>
      <c r="B6" s="5" t="s">
        <v>14</v>
      </c>
      <c r="C6" s="51">
        <f>SUMIF('功能点评估（全栈）'!$A$4:$A$69,$A6,'功能点评估（全栈）'!$H$4:$H$69)</f>
        <v>5.5</v>
      </c>
      <c r="D6" s="52">
        <f>IF(COUNT('功能点评估（全栈）'!K10:K12)=0,"",MIN('功能点评估（全栈）'!K10:K12))</f>
        <v>46272</v>
      </c>
      <c r="E6" s="52">
        <f>IF(COUNT('功能点评估（全栈）'!L10:L12)=0,"",MAX('功能点评估（全栈）'!L10:L12))</f>
        <v>46275</v>
      </c>
      <c r="F6" s="5"/>
    </row>
    <row r="7" spans="1:6">
      <c r="A7" s="4" t="s">
        <v>15</v>
      </c>
      <c r="B7" s="5" t="s">
        <v>16</v>
      </c>
      <c r="C7" s="51">
        <f>SUMIF('功能点评估（全栈）'!$A$4:$A$69,$A7,'功能点评估（全栈）'!$H$4:$H$69)</f>
        <v>9.5</v>
      </c>
      <c r="D7" s="52">
        <f>IF(COUNT('功能点评估（全栈）'!K13:K18)=0,"",MIN('功能点评估（全栈）'!K13:K18))</f>
        <v>46275</v>
      </c>
      <c r="E7" s="52">
        <f>IF(COUNT('功能点评估（全栈）'!L13:L18)=0,"",MAX('功能点评估（全栈）'!L13:L18))</f>
        <v>46316</v>
      </c>
      <c r="F7" s="5"/>
    </row>
    <row r="8" spans="1:6">
      <c r="A8" s="4" t="s">
        <v>17</v>
      </c>
      <c r="B8" s="5" t="s">
        <v>18</v>
      </c>
      <c r="C8" s="51">
        <f>SUMIF('功能点评估（全栈）'!$A$4:$A$69,$A8,'功能点评估（全栈）'!$H$4:$H$69)</f>
        <v>6.5</v>
      </c>
      <c r="D8" s="52">
        <f>IF(COUNT('功能点评估（全栈）'!K19:K23)=0,"",MIN('功能点评估（全栈）'!K19:K23))</f>
        <v>46275</v>
      </c>
      <c r="E8" s="52">
        <f>IF(COUNT('功能点评估（全栈）'!L19:L23)=0,"",MAX('功能点评估（全栈）'!L19:L23))</f>
        <v>46308</v>
      </c>
      <c r="F8" s="5"/>
    </row>
    <row r="9" ht="26" customHeight="1" spans="1:6">
      <c r="A9" s="4" t="s">
        <v>19</v>
      </c>
      <c r="B9" s="5" t="s">
        <v>20</v>
      </c>
      <c r="C9" s="51">
        <f>SUMIF('功能点评估（全栈）'!$A$4:$A$69,$A9,'功能点评估（全栈）'!$H$4:$H$69)</f>
        <v>27.5</v>
      </c>
      <c r="D9" s="52">
        <f>IF(COUNT('功能点评估（全栈）'!K24:K36)=0,"",MIN('功能点评估（全栈）'!K24:K36))</f>
        <v>46276</v>
      </c>
      <c r="E9" s="52">
        <f>IF(COUNT('功能点评估（全栈）'!L24:L36)=0,"",MAX('功能点评估（全栈）'!L24:L36))</f>
        <v>46342</v>
      </c>
      <c r="F9" s="5" t="s">
        <v>21</v>
      </c>
    </row>
    <row r="10" ht="26" customHeight="1" spans="1:6">
      <c r="A10" s="4" t="s">
        <v>22</v>
      </c>
      <c r="B10" s="5" t="s">
        <v>23</v>
      </c>
      <c r="C10" s="51">
        <f>SUMIF('功能点评估（全栈）'!$A$4:$A$69,$A10,'功能点评估（全栈）'!$H$4:$H$69)</f>
        <v>13.5</v>
      </c>
      <c r="D10" s="52">
        <f>IF(COUNT('功能点评估（全栈）'!K37:K42)=0,"",MIN('功能点评估（全栈）'!K37:K42))</f>
        <v>46307</v>
      </c>
      <c r="E10" s="52">
        <f>IF(COUNT('功能点评估（全栈）'!L37:L42)=0,"",MAX('功能点评估（全栈）'!L37:L42))</f>
        <v>46331</v>
      </c>
      <c r="F10" s="5" t="s">
        <v>24</v>
      </c>
    </row>
    <row r="11" ht="26" customHeight="1" spans="1:6">
      <c r="A11" s="4" t="s">
        <v>25</v>
      </c>
      <c r="B11" s="5" t="s">
        <v>26</v>
      </c>
      <c r="C11" s="51">
        <f>SUMIF('功能点评估（全栈）'!$A$4:$A$69,$A11,'功能点评估（全栈）'!$H$4:$H$69)</f>
        <v>9</v>
      </c>
      <c r="D11" s="52">
        <f>IF(COUNT('功能点评估（全栈）'!K43:K46)=0,"",MIN('功能点评估（全栈）'!K43:K46))</f>
        <v>46276</v>
      </c>
      <c r="E11" s="52">
        <f>IF(COUNT('功能点评估（全栈）'!L43:L46)=0,"",MAX('功能点评估（全栈）'!L43:L46))</f>
        <v>46343</v>
      </c>
      <c r="F11" s="5" t="s">
        <v>27</v>
      </c>
    </row>
    <row r="12" ht="39" customHeight="1" spans="1:6">
      <c r="A12" s="4" t="s">
        <v>28</v>
      </c>
      <c r="B12" s="5" t="s">
        <v>29</v>
      </c>
      <c r="C12" s="51">
        <f>SUMIF('功能点评估（全栈）'!$A$4:$A$69,$A12,'功能点评估（全栈）'!$H$4:$H$69)</f>
        <v>15.5</v>
      </c>
      <c r="D12" s="52">
        <f>IF(COUNT('功能点评估（全栈）'!K47:K53)=0,"",MIN('功能点评估（全栈）'!K47:K53))</f>
        <v>46282</v>
      </c>
      <c r="E12" s="52">
        <f>IF(COUNT('功能点评估（全栈）'!L47:L53)=0,"",MAX('功能点评估（全栈）'!L47:L53))</f>
        <v>46349</v>
      </c>
      <c r="F12" s="5" t="s">
        <v>30</v>
      </c>
    </row>
    <row r="13" spans="1:6">
      <c r="A13" s="4" t="s">
        <v>31</v>
      </c>
      <c r="B13" s="5" t="s">
        <v>32</v>
      </c>
      <c r="C13" s="51">
        <f>SUMIF('功能点评估（全栈）'!$A$4:$A$69,$A13,'功能点评估（全栈）'!$H$4:$H$69)</f>
        <v>2</v>
      </c>
      <c r="D13" s="52">
        <f>IF(COUNT('功能点评估（全栈）'!K54:K56)=0,"",MIN('功能点评估（全栈）'!K54:K56))</f>
        <v>46289</v>
      </c>
      <c r="E13" s="52">
        <f>IF(COUNT('功能点评估（全栈）'!L54:L56)=0,"",MAX('功能点评估（全栈）'!L54:L56))</f>
        <v>46342</v>
      </c>
      <c r="F13" s="5"/>
    </row>
    <row r="14" ht="26" customHeight="1" spans="1:6">
      <c r="A14" s="4" t="s">
        <v>33</v>
      </c>
      <c r="B14" s="5" t="s">
        <v>34</v>
      </c>
      <c r="C14" s="51">
        <f>SUMIF('功能点评估（全栈）'!$A$4:$A$69,$A14,'功能点评估（全栈）'!$H$4:$H$69)</f>
        <v>8</v>
      </c>
      <c r="D14" s="52">
        <f>IF(COUNT('功能点评估（全栈）'!K57:K61)=0,"",MIN('功能点评估（全栈）'!K57:K61))</f>
        <v>46286</v>
      </c>
      <c r="E14" s="52">
        <f>IF(COUNT('功能点评估（全栈）'!L57:L61)=0,"",MAX('功能点评估（全栈）'!L57:L61))</f>
        <v>46336</v>
      </c>
      <c r="F14" s="5" t="s">
        <v>35</v>
      </c>
    </row>
    <row r="15" ht="39" customHeight="1" spans="1:6">
      <c r="A15" s="4" t="s">
        <v>36</v>
      </c>
      <c r="B15" s="5" t="s">
        <v>37</v>
      </c>
      <c r="C15" s="51">
        <f>SUMIF('功能点评估（全栈）'!$A$4:$A$69,$A15,'功能点评估（全栈）'!$H$4:$H$69)</f>
        <v>17</v>
      </c>
      <c r="D15" s="52">
        <f>IF(COUNT('功能点评估（全栈）'!K62:K63)=0,"",MIN('功能点评估（全栈）'!K62:K63))</f>
        <v>46303</v>
      </c>
      <c r="E15" s="52">
        <f>IF(COUNT('功能点评估（全栈）'!L62:L63)=0,"",MAX('功能点评估（全栈）'!L62:L63))</f>
        <v>46360</v>
      </c>
      <c r="F15" s="5" t="s">
        <v>38</v>
      </c>
    </row>
    <row r="16" ht="26" customHeight="1" spans="1:6">
      <c r="A16" s="4" t="s">
        <v>39</v>
      </c>
      <c r="B16" s="5" t="s">
        <v>40</v>
      </c>
      <c r="C16" s="51">
        <f>SUMIF('功能点评估（全栈）'!$A$4:$A$69,$A16,'功能点评估（全栈）'!$H$4:$H$69)</f>
        <v>13</v>
      </c>
      <c r="D16" s="52">
        <f>IF(COUNT('功能点评估（全栈）'!K64:K66)=0,"",MIN('功能点评估（全栈）'!K64:K66))</f>
        <v>46303</v>
      </c>
      <c r="E16" s="52">
        <f>IF(COUNT('功能点评估（全栈）'!L64:L66)=0,"",MAX('功能点评估（全栈）'!L64:L66))</f>
        <v>46360</v>
      </c>
      <c r="F16" s="5" t="s">
        <v>41</v>
      </c>
    </row>
    <row r="17" ht="26" customHeight="1" spans="1:8">
      <c r="A17" s="4" t="s">
        <v>42</v>
      </c>
      <c r="B17" s="5" t="s">
        <v>43</v>
      </c>
      <c r="C17" s="51">
        <f>SUMIF('功能点评估（全栈）'!$A$4:$A$69,$A17,'功能点评估（全栈）'!$H$4:$H$69)</f>
        <v>15</v>
      </c>
      <c r="D17" s="52">
        <f>IF(COUNT('功能点评估（全栈）'!K67:K69)=0,"",MIN('功能点评估（全栈）'!K67:K69))</f>
        <v>46308</v>
      </c>
      <c r="E17" s="52">
        <f>IF(COUNT('功能点评估（全栈）'!L67:L69)=0,"",MAX('功能点评估（全栈）'!L67:L69))</f>
        <v>46374</v>
      </c>
      <c r="F17" s="5" t="s">
        <v>44</v>
      </c>
    </row>
    <row r="18" ht="15.5" customHeight="1" spans="1:8">
      <c r="A18" s="18"/>
      <c r="B18" s="18" t="s">
        <v>45</v>
      </c>
      <c r="C18" s="19">
        <f>SUM(C4:C17)</f>
        <v>149</v>
      </c>
      <c r="D18" s="53">
        <f>IF(COUNT(D4:D17)=0,"",MIN(D4:D17))</f>
        <v>46272</v>
      </c>
      <c r="E18" s="53">
        <f>IF(COUNT(E4:E17)=0,"",MAX(E4:E17))</f>
        <v>46374</v>
      </c>
      <c r="F18" s="18"/>
    </row>
    <row r="20" ht="15.5" customHeight="1" spans="1:8">
      <c r="A20" s="54" t="s">
        <v>46</v>
      </c>
      <c r="B20" s="55"/>
      <c r="C20" s="55"/>
      <c r="D20" s="55"/>
      <c r="E20" s="55"/>
      <c r="F20" s="55"/>
      <c r="G20" s="55"/>
    </row>
    <row r="21" ht="14.5" customHeight="1" spans="1:8">
      <c r="A21" s="56" t="s">
        <v>47</v>
      </c>
      <c r="B21" s="56" t="s">
        <v>48</v>
      </c>
      <c r="C21" s="56" t="s">
        <v>49</v>
      </c>
      <c r="D21" s="56" t="s">
        <v>3</v>
      </c>
      <c r="E21" s="56" t="s">
        <v>50</v>
      </c>
      <c r="F21" s="56" t="s">
        <v>4</v>
      </c>
      <c r="G21" s="56" t="s">
        <v>5</v>
      </c>
      <c r="H21" s="56" t="s">
        <v>51</v>
      </c>
    </row>
    <row r="22" ht="65" customHeight="1" spans="1:8">
      <c r="A22" s="57" t="s">
        <v>52</v>
      </c>
      <c r="B22" s="58" t="s">
        <v>53</v>
      </c>
      <c r="C22" s="59" t="s">
        <v>54</v>
      </c>
      <c r="D22" s="57">
        <f>SUMIF('功能点评估（全栈）'!$G$4:$G$69,$A22,'功能点评估（全栈）'!$H$4:$H$69)</f>
        <v>12.5</v>
      </c>
      <c r="E22" s="57">
        <f>ROUND(D22*(1+$C$46),2)</f>
        <v>14.38</v>
      </c>
      <c r="F22" s="60">
        <v>46272</v>
      </c>
      <c r="G22" s="60">
        <v>46276</v>
      </c>
      <c r="H22" s="61" t="s">
        <v>55</v>
      </c>
    </row>
    <row r="23" ht="104" customHeight="1" spans="1:8">
      <c r="A23" s="62" t="s">
        <v>56</v>
      </c>
      <c r="B23" s="63" t="s">
        <v>57</v>
      </c>
      <c r="C23" s="59" t="s">
        <v>58</v>
      </c>
      <c r="D23" s="57">
        <f>SUMIF('功能点评估（全栈）'!$G$4:$G$69,$A23,'功能点评估（全栈）'!$H$4:$H$69)</f>
        <v>32.5</v>
      </c>
      <c r="E23" s="57">
        <f>ROUND(D23*(1+$C$46),2)</f>
        <v>37.38</v>
      </c>
      <c r="F23" s="60">
        <v>46275</v>
      </c>
      <c r="G23" s="60">
        <v>46294</v>
      </c>
      <c r="H23" s="61" t="s">
        <v>59</v>
      </c>
    </row>
    <row r="24" ht="78" customHeight="1" spans="1:8">
      <c r="A24" s="64" t="s">
        <v>60</v>
      </c>
      <c r="B24" s="63" t="s">
        <v>61</v>
      </c>
      <c r="C24" s="59" t="s">
        <v>62</v>
      </c>
      <c r="D24" s="57">
        <f>SUMIF('功能点评估（全栈）'!$G$4:$G$69,$A24,'功能点评估（全栈）'!$H$4:$H$69)</f>
        <v>39</v>
      </c>
      <c r="E24" s="57">
        <f>ROUND(D24*(1+$C$46),2)</f>
        <v>44.85</v>
      </c>
      <c r="F24" s="60">
        <v>46282</v>
      </c>
      <c r="G24" s="60">
        <v>46331</v>
      </c>
      <c r="H24" s="61" t="s">
        <v>63</v>
      </c>
    </row>
    <row r="25" ht="78" customHeight="1" spans="1:8">
      <c r="A25" s="65" t="s">
        <v>64</v>
      </c>
      <c r="B25" s="63" t="s">
        <v>65</v>
      </c>
      <c r="C25" s="59" t="s">
        <v>66</v>
      </c>
      <c r="D25" s="57">
        <f>SUMIF('功能点评估（全栈）'!$G$4:$G$69,$A25,'功能点评估（全栈）'!$H$4:$H$69)</f>
        <v>20</v>
      </c>
      <c r="E25" s="57">
        <f>ROUND(D25*(1+$C$46),2)</f>
        <v>23</v>
      </c>
      <c r="F25" s="60">
        <v>46332</v>
      </c>
      <c r="G25" s="60">
        <v>46349</v>
      </c>
      <c r="H25" s="61" t="s">
        <v>67</v>
      </c>
    </row>
    <row r="26" ht="52" customHeight="1" spans="1:8">
      <c r="A26" s="57" t="s">
        <v>68</v>
      </c>
      <c r="B26" s="58" t="s">
        <v>69</v>
      </c>
      <c r="C26" s="59" t="s">
        <v>70</v>
      </c>
      <c r="D26" s="57"/>
      <c r="E26" s="57"/>
      <c r="F26" s="58"/>
      <c r="G26" s="58"/>
      <c r="H26" s="61" t="s">
        <v>71</v>
      </c>
    </row>
    <row r="27" ht="27" customHeight="1" spans="1:8">
      <c r="A27" s="57" t="s">
        <v>72</v>
      </c>
      <c r="B27" s="58" t="s">
        <v>73</v>
      </c>
      <c r="C27" s="61" t="s">
        <v>74</v>
      </c>
      <c r="D27" s="57">
        <f>SUMIF('功能点评估（全栈）'!$G$4:$G$69,$A27,'功能点评估（全栈）'!$H$4:$H$69)</f>
        <v>45</v>
      </c>
      <c r="E27" s="57">
        <f>ROUND(D27*(1+$C$46),2)</f>
        <v>51.75</v>
      </c>
      <c r="F27" s="60">
        <v>46303</v>
      </c>
      <c r="G27" s="60">
        <v>46374</v>
      </c>
      <c r="H27" s="61" t="s">
        <v>75</v>
      </c>
    </row>
    <row r="28" ht="15" customHeight="1" spans="1:8">
      <c r="A28" s="55"/>
      <c r="B28" s="55"/>
      <c r="C28" s="66" t="s">
        <v>76</v>
      </c>
      <c r="D28" s="66">
        <f>SUM(D22:D27)</f>
        <v>149</v>
      </c>
      <c r="E28" s="57" t="str">
        <f>IF(D28=C18,"✓ 一致","✗ 不一致")</f>
        <v>✓ 一致</v>
      </c>
      <c r="F28" s="55"/>
      <c r="G28" s="55"/>
    </row>
    <row r="29" ht="15.5" customHeight="1" spans="1:8">
      <c r="A29" s="55"/>
      <c r="B29" s="55"/>
      <c r="C29" s="55"/>
      <c r="D29" s="55"/>
      <c r="E29" s="55"/>
      <c r="F29" s="55"/>
      <c r="G29" s="55"/>
    </row>
    <row r="30" ht="15" customHeight="1" spans="1:8">
      <c r="A30" s="54" t="s">
        <v>77</v>
      </c>
      <c r="B30" s="55"/>
      <c r="C30" s="67"/>
      <c r="D30" s="55"/>
      <c r="E30" s="55"/>
      <c r="F30" s="55"/>
      <c r="G30" s="55"/>
    </row>
    <row r="31" ht="15" customHeight="1" spans="1:8">
      <c r="A31" s="56" t="s">
        <v>78</v>
      </c>
      <c r="B31" s="56" t="s">
        <v>79</v>
      </c>
      <c r="C31" s="56" t="s">
        <v>80</v>
      </c>
      <c r="D31" s="56" t="s">
        <v>81</v>
      </c>
      <c r="E31" s="56" t="s">
        <v>82</v>
      </c>
      <c r="F31" s="55"/>
      <c r="G31" s="55"/>
    </row>
    <row r="32" ht="15" customHeight="1" spans="1:8">
      <c r="A32" s="58" t="s">
        <v>83</v>
      </c>
      <c r="B32" s="58">
        <v>59.2</v>
      </c>
      <c r="C32" s="58">
        <v>54</v>
      </c>
      <c r="D32" s="68">
        <f>B32/C32</f>
        <v>1.0962962962963</v>
      </c>
      <c r="E32" s="61" t="s">
        <v>84</v>
      </c>
      <c r="F32" s="55"/>
      <c r="G32" s="55"/>
    </row>
    <row r="33" ht="15" customHeight="1" spans="1:7">
      <c r="A33" s="58" t="s">
        <v>85</v>
      </c>
      <c r="B33" s="58">
        <v>48.5</v>
      </c>
      <c r="C33" s="58">
        <v>48</v>
      </c>
      <c r="D33" s="68">
        <f>B33/C33</f>
        <v>1.01041666666667</v>
      </c>
      <c r="E33" s="69" t="s">
        <v>86</v>
      </c>
      <c r="F33" s="55"/>
      <c r="G33" s="55"/>
    </row>
    <row r="34" ht="15" customHeight="1" spans="1:7">
      <c r="A34" s="58" t="s">
        <v>87</v>
      </c>
      <c r="B34" s="58">
        <v>57</v>
      </c>
      <c r="C34" s="58">
        <v>63</v>
      </c>
      <c r="D34" s="68">
        <f>B34/C34</f>
        <v>0.904761904761905</v>
      </c>
      <c r="E34" s="69" t="s">
        <v>88</v>
      </c>
      <c r="F34" s="55"/>
      <c r="G34" s="55"/>
    </row>
    <row r="35" ht="15" customHeight="1" spans="1:7">
      <c r="A35" s="58" t="s">
        <v>89</v>
      </c>
      <c r="B35" s="58">
        <v>6.7</v>
      </c>
      <c r="C35" s="58">
        <v>69</v>
      </c>
      <c r="D35" s="68">
        <f>B35/C35</f>
        <v>0.0971014492753623</v>
      </c>
      <c r="E35" s="69" t="s">
        <v>90</v>
      </c>
      <c r="F35" s="55"/>
      <c r="G35" s="55"/>
    </row>
    <row r="36" spans="1:7">
      <c r="A36" s="66" t="s">
        <v>91</v>
      </c>
      <c r="B36" s="70">
        <f>SUM(B32:B35)</f>
        <v>171.4</v>
      </c>
      <c r="C36" s="70">
        <f>SUM(C32:C35)</f>
        <v>234</v>
      </c>
      <c r="D36" s="71">
        <f>B36/C36</f>
        <v>0.732478632478632</v>
      </c>
      <c r="E36" s="70"/>
    </row>
    <row r="38" ht="15.5" customHeight="1" spans="1:7">
      <c r="A38" s="72" t="s">
        <v>92</v>
      </c>
    </row>
    <row r="39" ht="39" customHeight="1" spans="1:7">
      <c r="A39" s="73" t="s">
        <v>93</v>
      </c>
      <c r="B39" s="61" t="s">
        <v>94</v>
      </c>
    </row>
    <row r="40" ht="39" customHeight="1" spans="1:7">
      <c r="A40" s="73" t="s">
        <v>95</v>
      </c>
      <c r="B40" s="61" t="s">
        <v>96</v>
      </c>
    </row>
    <row r="41" ht="39" customHeight="1" spans="1:7">
      <c r="A41" s="73" t="s">
        <v>97</v>
      </c>
      <c r="B41" s="61" t="s">
        <v>98</v>
      </c>
    </row>
    <row r="42" ht="39" customHeight="1" spans="1:7">
      <c r="A42" s="73" t="s">
        <v>99</v>
      </c>
      <c r="B42" s="61" t="s">
        <v>100</v>
      </c>
    </row>
    <row r="43" ht="52" customHeight="1" spans="1:7">
      <c r="A43" s="73" t="s">
        <v>101</v>
      </c>
      <c r="B43" s="61" t="s">
        <v>102</v>
      </c>
    </row>
    <row r="45" ht="15.5" customHeight="1" spans="1:7">
      <c r="A45" s="72" t="s">
        <v>103</v>
      </c>
    </row>
    <row r="46" ht="15" customHeight="1" spans="1:7">
      <c r="A46" s="74" t="s">
        <v>104</v>
      </c>
      <c r="C46" s="57">
        <v>0.15</v>
      </c>
      <c r="D46" s="32" t="s">
        <v>105</v>
      </c>
    </row>
    <row r="47" ht="15" customHeight="1" spans="1:7">
      <c r="A47" s="74" t="s">
        <v>106</v>
      </c>
      <c r="C47" s="57">
        <v>3</v>
      </c>
      <c r="D47" s="32" t="s">
        <v>107</v>
      </c>
    </row>
    <row r="48" ht="15" customHeight="1" spans="1:7">
      <c r="A48" s="74" t="s">
        <v>108</v>
      </c>
      <c r="C48" s="57">
        <v>21</v>
      </c>
      <c r="D48" s="32" t="s">
        <v>109</v>
      </c>
    </row>
    <row r="49" ht="15" customHeight="1" spans="1:4">
      <c r="A49" s="74" t="s">
        <v>110</v>
      </c>
      <c r="C49" s="66">
        <f>IF(OR($C$46="",$C$18=0),"",$C$18*(1+$C$46))</f>
        <v>171.35</v>
      </c>
      <c r="D49" s="32" t="s">
        <v>111</v>
      </c>
    </row>
    <row r="50" ht="15" customHeight="1" spans="1:4">
      <c r="A50" s="74" t="s">
        <v>112</v>
      </c>
      <c r="C50" s="66">
        <f>IF(OR($C$46="",$C$47="",$C$47=0,$C$49=""),"",$C$49/($C$48*$C$47))</f>
        <v>2.71984126984127</v>
      </c>
      <c r="D50" s="32" t="s">
        <v>113</v>
      </c>
    </row>
    <row r="51" ht="15" customHeight="1" spans="1:4">
      <c r="A51" s="74" t="s">
        <v>114</v>
      </c>
      <c r="C51" s="66">
        <f>IF(OR($C$46="",$C$47="",$C$47=0,$C$49=""),"",$C$49/($C$48*$C$47)*4.33)</f>
        <v>11.7769126984127</v>
      </c>
      <c r="D51" s="32" t="s">
        <v>113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32"/>
  <sheetViews>
    <sheetView showGridLines="0" zoomScale="85" zoomScaleNormal="85" workbookViewId="0">
      <pane xSplit="5" ySplit="4" topLeftCell="F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6" customWidth="1"/>
    <col min="2" max="2" width="34" customWidth="1"/>
    <col min="3" max="3" width="6" customWidth="1"/>
    <col min="4" max="5" width="8" customWidth="1"/>
    <col min="6" max="80" width="2.63636363636364" customWidth="1"/>
  </cols>
  <sheetData>
    <row r="1" ht="18" customHeight="1" spans="1:80">
      <c r="A1" s="31" t="s">
        <v>115</v>
      </c>
    </row>
    <row r="2" ht="15" customHeight="1" spans="1:80">
      <c r="A2" s="32" t="s">
        <v>116</v>
      </c>
    </row>
    <row r="3" ht="14.5" customHeight="1" spans="1:80">
      <c r="A3" s="33" t="s">
        <v>1</v>
      </c>
      <c r="B3" s="33" t="s">
        <v>117</v>
      </c>
      <c r="C3" s="33" t="s">
        <v>118</v>
      </c>
      <c r="D3" s="33" t="s">
        <v>119</v>
      </c>
      <c r="E3" s="33" t="s">
        <v>120</v>
      </c>
      <c r="F3" s="34" t="s">
        <v>83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  <c r="X3" s="34" t="s">
        <v>121</v>
      </c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9"/>
      <c r="AO3" s="34" t="s">
        <v>87</v>
      </c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9"/>
      <c r="BJ3" s="34" t="s">
        <v>89</v>
      </c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9"/>
    </row>
    <row r="4" spans="1:80">
      <c r="F4" s="36">
        <v>46272</v>
      </c>
      <c r="G4" s="36">
        <v>46273</v>
      </c>
      <c r="H4" s="36">
        <v>46274</v>
      </c>
      <c r="I4" s="36">
        <v>46275</v>
      </c>
      <c r="J4" s="36">
        <v>46276</v>
      </c>
      <c r="K4" s="36">
        <v>46279</v>
      </c>
      <c r="L4" s="36">
        <v>46280</v>
      </c>
      <c r="M4" s="36">
        <v>46281</v>
      </c>
      <c r="N4" s="36">
        <v>46282</v>
      </c>
      <c r="O4" s="36">
        <v>46283</v>
      </c>
      <c r="P4" s="36">
        <v>46286</v>
      </c>
      <c r="Q4" s="36">
        <v>46287</v>
      </c>
      <c r="R4" s="36">
        <v>46288</v>
      </c>
      <c r="S4" s="36">
        <v>46289</v>
      </c>
      <c r="T4" s="36">
        <v>46290</v>
      </c>
      <c r="U4" s="36">
        <v>46293</v>
      </c>
      <c r="V4" s="36">
        <v>46294</v>
      </c>
      <c r="W4" s="36">
        <v>46295</v>
      </c>
      <c r="X4" s="36">
        <v>46303</v>
      </c>
      <c r="Y4" s="36">
        <v>46304</v>
      </c>
      <c r="Z4" s="36">
        <v>46307</v>
      </c>
      <c r="AA4" s="36">
        <v>46308</v>
      </c>
      <c r="AB4" s="36">
        <v>46309</v>
      </c>
      <c r="AC4" s="36">
        <v>46310</v>
      </c>
      <c r="AD4" s="36">
        <v>46311</v>
      </c>
      <c r="AE4" s="36">
        <v>46314</v>
      </c>
      <c r="AF4" s="36">
        <v>46315</v>
      </c>
      <c r="AG4" s="36">
        <v>46316</v>
      </c>
      <c r="AH4" s="36">
        <v>46317</v>
      </c>
      <c r="AI4" s="36">
        <v>46318</v>
      </c>
      <c r="AJ4" s="36">
        <v>46321</v>
      </c>
      <c r="AK4" s="36">
        <v>46322</v>
      </c>
      <c r="AL4" s="36">
        <v>46323</v>
      </c>
      <c r="AM4" s="36">
        <v>46324</v>
      </c>
      <c r="AN4" s="36">
        <v>46325</v>
      </c>
      <c r="AO4" s="36">
        <v>46328</v>
      </c>
      <c r="AP4" s="36">
        <v>46329</v>
      </c>
      <c r="AQ4" s="36">
        <v>46330</v>
      </c>
      <c r="AR4" s="36">
        <v>46331</v>
      </c>
      <c r="AS4" s="36">
        <v>46332</v>
      </c>
      <c r="AT4" s="36">
        <v>46335</v>
      </c>
      <c r="AU4" s="36">
        <v>46336</v>
      </c>
      <c r="AV4" s="36">
        <v>46337</v>
      </c>
      <c r="AW4" s="36">
        <v>46338</v>
      </c>
      <c r="AX4" s="36">
        <v>46339</v>
      </c>
      <c r="AY4" s="36">
        <v>46342</v>
      </c>
      <c r="AZ4" s="36">
        <v>46343</v>
      </c>
      <c r="BA4" s="36">
        <v>46344</v>
      </c>
      <c r="BB4" s="36">
        <v>46345</v>
      </c>
      <c r="BC4" s="36">
        <v>46346</v>
      </c>
      <c r="BD4" s="36">
        <v>46349</v>
      </c>
      <c r="BE4" s="36">
        <v>46350</v>
      </c>
      <c r="BF4" s="36">
        <v>46351</v>
      </c>
      <c r="BG4" s="36">
        <v>46352</v>
      </c>
      <c r="BH4" s="36">
        <v>46353</v>
      </c>
      <c r="BI4" s="36">
        <v>46356</v>
      </c>
      <c r="BJ4" s="36">
        <v>46357</v>
      </c>
      <c r="BK4" s="36">
        <v>46358</v>
      </c>
      <c r="BL4" s="36">
        <v>46359</v>
      </c>
      <c r="BM4" s="36">
        <v>46360</v>
      </c>
      <c r="BN4" s="36">
        <v>46363</v>
      </c>
      <c r="BO4" s="36">
        <v>46364</v>
      </c>
      <c r="BP4" s="36">
        <v>46365</v>
      </c>
      <c r="BQ4" s="36">
        <v>46366</v>
      </c>
      <c r="BR4" s="36">
        <v>46367</v>
      </c>
      <c r="BS4" s="36">
        <v>46370</v>
      </c>
      <c r="BT4" s="36">
        <v>46371</v>
      </c>
      <c r="BU4" s="36">
        <v>46372</v>
      </c>
      <c r="BV4" s="36">
        <v>46373</v>
      </c>
      <c r="BW4" s="36">
        <v>46374</v>
      </c>
      <c r="BX4" s="36">
        <v>46377</v>
      </c>
      <c r="BY4" s="36">
        <v>46378</v>
      </c>
      <c r="BZ4" s="36">
        <v>46379</v>
      </c>
      <c r="CA4" s="36">
        <v>46380</v>
      </c>
      <c r="CB4" s="36">
        <v>46381</v>
      </c>
    </row>
    <row r="5" ht="15.5" customHeight="1" spans="1:80">
      <c r="A5" s="37" t="s">
        <v>122</v>
      </c>
      <c r="B5" s="38"/>
      <c r="C5" s="38"/>
      <c r="D5" s="38"/>
      <c r="E5" s="39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</row>
    <row r="6" spans="1:80">
      <c r="A6" s="41" t="s">
        <v>7</v>
      </c>
      <c r="B6" s="43" t="s">
        <v>123</v>
      </c>
      <c r="C6" s="42">
        <v>6</v>
      </c>
      <c r="D6" s="44">
        <v>46272</v>
      </c>
      <c r="E6" s="44">
        <v>46276</v>
      </c>
    </row>
    <row r="7" spans="1:80">
      <c r="A7" s="41" t="s">
        <v>10</v>
      </c>
      <c r="B7" s="43" t="s">
        <v>124</v>
      </c>
      <c r="C7" s="42">
        <v>1</v>
      </c>
      <c r="D7" s="44">
        <v>46275</v>
      </c>
      <c r="E7" s="44">
        <v>46276</v>
      </c>
    </row>
    <row r="8" spans="1:80">
      <c r="A8" s="41" t="s">
        <v>13</v>
      </c>
      <c r="B8" s="43" t="s">
        <v>125</v>
      </c>
      <c r="C8" s="42">
        <v>5.5</v>
      </c>
      <c r="D8" s="44">
        <v>46272</v>
      </c>
      <c r="E8" s="44">
        <v>46275</v>
      </c>
    </row>
    <row r="9" ht="15.5" customHeight="1" spans="1:80">
      <c r="A9" s="45" t="s">
        <v>126</v>
      </c>
      <c r="B9" s="38"/>
      <c r="C9" s="38"/>
      <c r="D9" s="38"/>
      <c r="E9" s="39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</row>
    <row r="10" spans="1:80">
      <c r="A10" s="41" t="s">
        <v>15</v>
      </c>
      <c r="B10" s="43" t="s">
        <v>127</v>
      </c>
      <c r="C10" s="42">
        <v>6.5</v>
      </c>
      <c r="D10" s="44">
        <v>46275</v>
      </c>
      <c r="E10" s="44">
        <v>46283</v>
      </c>
    </row>
    <row r="11" spans="1:80">
      <c r="A11" s="41" t="s">
        <v>17</v>
      </c>
      <c r="B11" s="43" t="s">
        <v>128</v>
      </c>
      <c r="C11" s="42">
        <v>1.5</v>
      </c>
      <c r="D11" s="44">
        <v>46275</v>
      </c>
      <c r="E11" s="44">
        <v>46276</v>
      </c>
    </row>
    <row r="12" spans="1:80">
      <c r="A12" s="41" t="s">
        <v>19</v>
      </c>
      <c r="B12" s="43" t="s">
        <v>129</v>
      </c>
      <c r="C12" s="42">
        <v>10.5</v>
      </c>
      <c r="D12" s="44">
        <v>46276</v>
      </c>
      <c r="E12" s="44">
        <v>46293</v>
      </c>
    </row>
    <row r="13" spans="1:80">
      <c r="A13" s="41" t="s">
        <v>25</v>
      </c>
      <c r="B13" s="43" t="s">
        <v>130</v>
      </c>
      <c r="C13" s="42">
        <v>3</v>
      </c>
      <c r="D13" s="44">
        <v>46276</v>
      </c>
      <c r="E13" s="44">
        <v>46281</v>
      </c>
    </row>
    <row r="14" spans="1:80">
      <c r="A14" s="41" t="s">
        <v>28</v>
      </c>
      <c r="B14" s="43" t="s">
        <v>131</v>
      </c>
      <c r="C14" s="42">
        <v>4</v>
      </c>
      <c r="D14" s="44">
        <v>46282</v>
      </c>
      <c r="E14" s="44">
        <v>46288</v>
      </c>
    </row>
    <row r="15" spans="1:80">
      <c r="A15" s="41" t="s">
        <v>31</v>
      </c>
      <c r="B15" s="43" t="s">
        <v>132</v>
      </c>
      <c r="C15" s="42">
        <v>1</v>
      </c>
      <c r="D15" s="44">
        <v>46289</v>
      </c>
      <c r="E15" s="44">
        <v>46289</v>
      </c>
    </row>
    <row r="16" spans="1:80">
      <c r="A16" s="41" t="s">
        <v>33</v>
      </c>
      <c r="B16" s="43" t="s">
        <v>133</v>
      </c>
      <c r="C16" s="42">
        <v>6</v>
      </c>
      <c r="D16" s="44">
        <v>46286</v>
      </c>
      <c r="E16" s="44">
        <v>46294</v>
      </c>
    </row>
    <row r="17" ht="15.5" customHeight="1" spans="1:80">
      <c r="A17" s="47" t="s">
        <v>134</v>
      </c>
      <c r="B17" s="38"/>
      <c r="C17" s="38"/>
      <c r="D17" s="38"/>
      <c r="E17" s="39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</row>
    <row r="18" spans="1:80">
      <c r="A18" s="41" t="s">
        <v>15</v>
      </c>
      <c r="B18" s="43" t="s">
        <v>135</v>
      </c>
      <c r="C18" s="42">
        <v>3</v>
      </c>
      <c r="D18" s="44">
        <v>46314</v>
      </c>
      <c r="E18" s="44">
        <v>46316</v>
      </c>
    </row>
    <row r="19" spans="1:80">
      <c r="A19" s="41" t="s">
        <v>17</v>
      </c>
      <c r="B19" s="43" t="s">
        <v>136</v>
      </c>
      <c r="C19" s="42">
        <v>5</v>
      </c>
      <c r="D19" s="44">
        <v>46290</v>
      </c>
      <c r="E19" s="44">
        <v>46308</v>
      </c>
    </row>
    <row r="20" spans="1:80">
      <c r="A20" s="41" t="s">
        <v>19</v>
      </c>
      <c r="B20" s="43" t="s">
        <v>137</v>
      </c>
      <c r="C20" s="42">
        <v>14</v>
      </c>
      <c r="D20" s="44">
        <v>46309</v>
      </c>
      <c r="E20" s="44">
        <v>46329</v>
      </c>
    </row>
    <row r="21" spans="1:80">
      <c r="A21" s="41" t="s">
        <v>22</v>
      </c>
      <c r="B21" s="43" t="s">
        <v>138</v>
      </c>
      <c r="C21" s="42">
        <v>13.5</v>
      </c>
      <c r="D21" s="44">
        <v>46307</v>
      </c>
      <c r="E21" s="44">
        <v>46331</v>
      </c>
    </row>
    <row r="22" spans="1:80">
      <c r="A22" s="41" t="s">
        <v>28</v>
      </c>
      <c r="B22" s="43" t="s">
        <v>139</v>
      </c>
      <c r="C22" s="42">
        <v>3.5</v>
      </c>
      <c r="D22" s="44">
        <v>46282</v>
      </c>
      <c r="E22" s="44">
        <v>46289</v>
      </c>
    </row>
    <row r="23" ht="15.5" customHeight="1" spans="1:80">
      <c r="A23" s="49" t="s">
        <v>140</v>
      </c>
      <c r="B23" s="38"/>
      <c r="C23" s="38"/>
      <c r="D23" s="38"/>
      <c r="E23" s="39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</row>
    <row r="24" spans="1:80">
      <c r="A24" s="41" t="s">
        <v>19</v>
      </c>
      <c r="B24" s="43" t="s">
        <v>141</v>
      </c>
      <c r="C24" s="42">
        <v>3</v>
      </c>
      <c r="D24" s="44">
        <v>46337</v>
      </c>
      <c r="E24" s="44">
        <v>46342</v>
      </c>
    </row>
    <row r="25" spans="1:80">
      <c r="A25" s="41" t="s">
        <v>25</v>
      </c>
      <c r="B25" s="43" t="s">
        <v>142</v>
      </c>
      <c r="C25" s="42">
        <v>6</v>
      </c>
      <c r="D25" s="44">
        <v>46335</v>
      </c>
      <c r="E25" s="44">
        <v>46343</v>
      </c>
    </row>
    <row r="26" spans="1:80">
      <c r="A26" s="41" t="s">
        <v>28</v>
      </c>
      <c r="B26" s="43" t="s">
        <v>143</v>
      </c>
      <c r="C26" s="42">
        <v>8</v>
      </c>
      <c r="D26" s="44">
        <v>46337</v>
      </c>
      <c r="E26" s="44">
        <v>46349</v>
      </c>
    </row>
    <row r="27" spans="1:80">
      <c r="A27" s="41" t="s">
        <v>31</v>
      </c>
      <c r="B27" s="43" t="s">
        <v>144</v>
      </c>
      <c r="C27" s="42">
        <v>1</v>
      </c>
      <c r="D27" s="44">
        <v>46339</v>
      </c>
      <c r="E27" s="44">
        <v>46342</v>
      </c>
    </row>
    <row r="28" spans="1:80">
      <c r="A28" s="41" t="s">
        <v>33</v>
      </c>
      <c r="B28" s="43" t="s">
        <v>145</v>
      </c>
      <c r="C28" s="42">
        <v>2</v>
      </c>
      <c r="D28" s="44">
        <v>46332</v>
      </c>
      <c r="E28" s="44">
        <v>46336</v>
      </c>
    </row>
    <row r="29" ht="15.5" customHeight="1" spans="1:80">
      <c r="A29" s="37" t="s">
        <v>146</v>
      </c>
      <c r="B29" s="38"/>
      <c r="C29" s="38"/>
      <c r="D29" s="38"/>
      <c r="E29" s="39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</row>
    <row r="30" spans="1:80">
      <c r="A30" s="41" t="s">
        <v>36</v>
      </c>
      <c r="B30" s="43" t="s">
        <v>147</v>
      </c>
      <c r="C30" s="42">
        <v>17</v>
      </c>
      <c r="D30" s="44">
        <v>46303</v>
      </c>
      <c r="E30" s="44">
        <v>46360</v>
      </c>
    </row>
    <row r="31" spans="1:80">
      <c r="A31" s="41" t="s">
        <v>39</v>
      </c>
      <c r="B31" s="43" t="s">
        <v>148</v>
      </c>
      <c r="C31" s="42">
        <v>13</v>
      </c>
      <c r="D31" s="44">
        <v>46303</v>
      </c>
      <c r="E31" s="44">
        <v>46360</v>
      </c>
    </row>
    <row r="32" spans="1:80">
      <c r="A32" s="41" t="s">
        <v>42</v>
      </c>
      <c r="B32" s="43" t="s">
        <v>149</v>
      </c>
      <c r="C32" s="42">
        <v>15</v>
      </c>
      <c r="D32" s="44">
        <v>46308</v>
      </c>
      <c r="E32" s="44">
        <v>46374</v>
      </c>
    </row>
  </sheetData>
  <mergeCells count="9">
    <mergeCell ref="F3:W3"/>
    <mergeCell ref="X3:AN3"/>
    <mergeCell ref="AO3:BI3"/>
    <mergeCell ref="BJ3:CB3"/>
    <mergeCell ref="A5:E5"/>
    <mergeCell ref="A9:E9"/>
    <mergeCell ref="A17:E17"/>
    <mergeCell ref="A23:E23"/>
    <mergeCell ref="A29:E29"/>
  </mergeCells>
  <conditionalFormatting sqref="F5:CB32">
    <cfRule type="expression" dxfId="0" priority="24">
      <formula>F$4=TODAY()</formula>
    </cfRule>
    <cfRule type="expression" dxfId="1" priority="25">
      <formula>OR(F$4=DATE(2026,10,16),F$4=DATE(2026,11,17),F$4=DATE(2026,12,7),F$4=DATE(2026,12,25))</formula>
    </cfRule>
  </conditionalFormatting>
  <conditionalFormatting sqref="F6:CB8">
    <cfRule type="expression" dxfId="2" priority="1" stopIfTrue="1">
      <formula>AND(F$4&lt;&gt;"",F$4&lt;=$E6,F$4&gt;=$D6)</formula>
    </cfRule>
  </conditionalFormatting>
  <conditionalFormatting sqref="F10:CB16">
    <cfRule type="expression" dxfId="3" priority="4" stopIfTrue="1">
      <formula>AND(F$4&lt;&gt;"",F$4&lt;=$E10,F$4&gt;=$D10)</formula>
    </cfRule>
  </conditionalFormatting>
  <conditionalFormatting sqref="F18:CB22">
    <cfRule type="expression" dxfId="4" priority="11" stopIfTrue="1">
      <formula>AND(F$4&lt;&gt;"",F$4&lt;=$E18,F$4&gt;=$D18)</formula>
    </cfRule>
  </conditionalFormatting>
  <conditionalFormatting sqref="F24:CB28">
    <cfRule type="expression" dxfId="5" priority="16" stopIfTrue="1">
      <formula>AND(F$4&lt;&gt;"",F$4&lt;=$E24,F$4&gt;=$D24)</formula>
    </cfRule>
  </conditionalFormatting>
  <conditionalFormatting sqref="F30:CB32">
    <cfRule type="expression" dxfId="6" priority="21" stopIfTrue="1">
      <formula>AND(F$4&lt;&gt;"",F$4&lt;=$E30,F$4&gt;=$D30)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75"/>
  <sheetViews>
    <sheetView tabSelected="1" workbookViewId="0">
      <pane xSplit="7" ySplit="4" topLeftCell="H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5" customWidth="1"/>
    <col min="2" max="2" width="10" customWidth="1"/>
    <col min="3" max="3" width="30" customWidth="1"/>
    <col min="4" max="4" width="6" customWidth="1"/>
    <col min="5" max="5" width="5" customWidth="1"/>
    <col min="6" max="7" width="7" customWidth="1"/>
    <col min="8" max="82" width="2.63636363636364" customWidth="1"/>
  </cols>
  <sheetData>
    <row r="1" ht="18" spans="1:82">
      <c r="A1" s="31" t="s">
        <v>150</v>
      </c>
    </row>
    <row r="2" spans="1:82">
      <c r="A2" s="32" t="s">
        <v>151</v>
      </c>
    </row>
    <row r="3" ht="14.5" spans="1:82">
      <c r="A3" s="33" t="s">
        <v>1</v>
      </c>
      <c r="B3" s="33" t="s">
        <v>152</v>
      </c>
      <c r="C3" s="33" t="s">
        <v>153</v>
      </c>
      <c r="D3" s="33" t="s">
        <v>47</v>
      </c>
      <c r="E3" s="33" t="s">
        <v>118</v>
      </c>
      <c r="F3" s="33" t="s">
        <v>119</v>
      </c>
      <c r="G3" s="33" t="s">
        <v>120</v>
      </c>
      <c r="H3" s="34" t="s">
        <v>154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4" t="s">
        <v>155</v>
      </c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4" t="s">
        <v>156</v>
      </c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4" t="s">
        <v>157</v>
      </c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</row>
    <row r="4" spans="1:82">
      <c r="H4" s="36">
        <v>46272</v>
      </c>
      <c r="I4" s="36">
        <v>46273</v>
      </c>
      <c r="J4" s="36">
        <v>46274</v>
      </c>
      <c r="K4" s="36">
        <v>46275</v>
      </c>
      <c r="L4" s="36">
        <v>46276</v>
      </c>
      <c r="M4" s="36">
        <v>46279</v>
      </c>
      <c r="N4" s="36">
        <v>46280</v>
      </c>
      <c r="O4" s="36">
        <v>46281</v>
      </c>
      <c r="P4" s="36">
        <v>46282</v>
      </c>
      <c r="Q4" s="36">
        <v>46283</v>
      </c>
      <c r="R4" s="36">
        <v>46286</v>
      </c>
      <c r="S4" s="36">
        <v>46287</v>
      </c>
      <c r="T4" s="36">
        <v>46288</v>
      </c>
      <c r="U4" s="36">
        <v>46289</v>
      </c>
      <c r="V4" s="36">
        <v>46290</v>
      </c>
      <c r="W4" s="36">
        <v>46293</v>
      </c>
      <c r="X4" s="36">
        <v>46294</v>
      </c>
      <c r="Y4" s="36">
        <v>46295</v>
      </c>
      <c r="Z4" s="36">
        <v>46303</v>
      </c>
      <c r="AA4" s="36">
        <v>46304</v>
      </c>
      <c r="AB4" s="36">
        <v>46307</v>
      </c>
      <c r="AC4" s="36">
        <v>46308</v>
      </c>
      <c r="AD4" s="36">
        <v>46309</v>
      </c>
      <c r="AE4" s="36">
        <v>46310</v>
      </c>
      <c r="AF4" s="36">
        <v>46311</v>
      </c>
      <c r="AG4" s="36">
        <v>46314</v>
      </c>
      <c r="AH4" s="36">
        <v>46315</v>
      </c>
      <c r="AI4" s="36">
        <v>46316</v>
      </c>
      <c r="AJ4" s="36">
        <v>46317</v>
      </c>
      <c r="AK4" s="36">
        <v>46318</v>
      </c>
      <c r="AL4" s="36">
        <v>46321</v>
      </c>
      <c r="AM4" s="36">
        <v>46322</v>
      </c>
      <c r="AN4" s="36">
        <v>46323</v>
      </c>
      <c r="AO4" s="36">
        <v>46324</v>
      </c>
      <c r="AP4" s="36">
        <v>46325</v>
      </c>
      <c r="AQ4" s="36">
        <v>46328</v>
      </c>
      <c r="AR4" s="36">
        <v>46329</v>
      </c>
      <c r="AS4" s="36">
        <v>46330</v>
      </c>
      <c r="AT4" s="36">
        <v>46331</v>
      </c>
      <c r="AU4" s="36">
        <v>46332</v>
      </c>
      <c r="AV4" s="36">
        <v>46335</v>
      </c>
      <c r="AW4" s="36">
        <v>46336</v>
      </c>
      <c r="AX4" s="36">
        <v>46337</v>
      </c>
      <c r="AY4" s="36">
        <v>46338</v>
      </c>
      <c r="AZ4" s="36">
        <v>46339</v>
      </c>
      <c r="BA4" s="36">
        <v>46342</v>
      </c>
      <c r="BB4" s="36">
        <v>46343</v>
      </c>
      <c r="BC4" s="36">
        <v>46344</v>
      </c>
      <c r="BD4" s="36">
        <v>46345</v>
      </c>
      <c r="BE4" s="36">
        <v>46346</v>
      </c>
      <c r="BF4" s="36">
        <v>46349</v>
      </c>
      <c r="BG4" s="36">
        <v>46350</v>
      </c>
      <c r="BH4" s="36">
        <v>46351</v>
      </c>
      <c r="BI4" s="36">
        <v>46352</v>
      </c>
      <c r="BJ4" s="36">
        <v>46353</v>
      </c>
      <c r="BK4" s="36">
        <v>46356</v>
      </c>
      <c r="BL4" s="36">
        <v>46357</v>
      </c>
      <c r="BM4" s="36">
        <v>46358</v>
      </c>
      <c r="BN4" s="36">
        <v>46359</v>
      </c>
      <c r="BO4" s="36">
        <v>46360</v>
      </c>
      <c r="BP4" s="36">
        <v>46363</v>
      </c>
      <c r="BQ4" s="36">
        <v>46364</v>
      </c>
      <c r="BR4" s="36">
        <v>46365</v>
      </c>
      <c r="BS4" s="36">
        <v>46366</v>
      </c>
      <c r="BT4" s="36">
        <v>46367</v>
      </c>
      <c r="BU4" s="36">
        <v>46370</v>
      </c>
      <c r="BV4" s="36">
        <v>46371</v>
      </c>
      <c r="BW4" s="36">
        <v>46372</v>
      </c>
      <c r="BX4" s="36">
        <v>46373</v>
      </c>
      <c r="BY4" s="36">
        <v>46374</v>
      </c>
      <c r="BZ4" s="36">
        <v>46377</v>
      </c>
      <c r="CA4" s="36">
        <v>46378</v>
      </c>
      <c r="CB4" s="36">
        <v>46379</v>
      </c>
      <c r="CC4" s="36">
        <v>46380</v>
      </c>
      <c r="CD4" s="36">
        <v>46381</v>
      </c>
    </row>
    <row r="5" spans="1:82">
      <c r="A5" s="37" t="s">
        <v>122</v>
      </c>
      <c r="B5" s="38"/>
      <c r="C5" s="38"/>
      <c r="D5" s="38"/>
      <c r="E5" s="38"/>
      <c r="F5" s="38"/>
      <c r="G5" s="39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</row>
    <row r="6" spans="1:82">
      <c r="A6" s="41" t="s">
        <v>7</v>
      </c>
      <c r="B6" s="42" t="s">
        <v>75</v>
      </c>
      <c r="C6" s="43" t="s">
        <v>158</v>
      </c>
      <c r="D6" s="42" t="s">
        <v>52</v>
      </c>
      <c r="E6" s="42">
        <v>1.5</v>
      </c>
      <c r="F6" s="44">
        <v>46272</v>
      </c>
      <c r="G6" s="44">
        <v>46273</v>
      </c>
    </row>
    <row r="7" spans="1:82">
      <c r="A7" s="41" t="s">
        <v>7</v>
      </c>
      <c r="B7" s="42" t="s">
        <v>75</v>
      </c>
      <c r="C7" s="43" t="s">
        <v>159</v>
      </c>
      <c r="D7" s="42" t="s">
        <v>52</v>
      </c>
      <c r="E7" s="42">
        <v>2</v>
      </c>
      <c r="F7" s="44">
        <v>46274</v>
      </c>
      <c r="G7" s="44">
        <v>46275</v>
      </c>
    </row>
    <row r="8" spans="1:82">
      <c r="A8" s="41" t="s">
        <v>7</v>
      </c>
      <c r="B8" s="42" t="s">
        <v>75</v>
      </c>
      <c r="C8" s="43" t="s">
        <v>160</v>
      </c>
      <c r="D8" s="42" t="s">
        <v>52</v>
      </c>
      <c r="E8" s="42">
        <v>1.5</v>
      </c>
      <c r="F8" s="44">
        <v>46274</v>
      </c>
      <c r="G8" s="44">
        <v>46275</v>
      </c>
    </row>
    <row r="9" spans="1:82">
      <c r="A9" s="41" t="s">
        <v>7</v>
      </c>
      <c r="B9" s="42" t="s">
        <v>75</v>
      </c>
      <c r="C9" s="43" t="s">
        <v>161</v>
      </c>
      <c r="D9" s="42" t="s">
        <v>52</v>
      </c>
      <c r="E9" s="42">
        <v>1</v>
      </c>
      <c r="F9" s="44">
        <v>46276</v>
      </c>
      <c r="G9" s="44">
        <v>46276</v>
      </c>
    </row>
    <row r="10" spans="1:82">
      <c r="A10" s="41" t="s">
        <v>10</v>
      </c>
      <c r="B10" s="42" t="s">
        <v>75</v>
      </c>
      <c r="C10" s="43" t="s">
        <v>162</v>
      </c>
      <c r="D10" s="42" t="s">
        <v>52</v>
      </c>
      <c r="E10" s="42">
        <v>0.5</v>
      </c>
      <c r="F10" s="44">
        <v>46275</v>
      </c>
      <c r="G10" s="44">
        <v>46275</v>
      </c>
    </row>
    <row r="11" spans="1:82">
      <c r="A11" s="41" t="s">
        <v>10</v>
      </c>
      <c r="B11" s="42" t="s">
        <v>75</v>
      </c>
      <c r="C11" s="43" t="s">
        <v>163</v>
      </c>
      <c r="D11" s="42" t="s">
        <v>52</v>
      </c>
      <c r="E11" s="42">
        <v>0.5</v>
      </c>
      <c r="F11" s="44">
        <v>46276</v>
      </c>
      <c r="G11" s="44">
        <v>46276</v>
      </c>
    </row>
    <row r="12" spans="1:82">
      <c r="A12" s="41" t="s">
        <v>13</v>
      </c>
      <c r="B12" s="42" t="s">
        <v>75</v>
      </c>
      <c r="C12" s="43" t="s">
        <v>164</v>
      </c>
      <c r="D12" s="42" t="s">
        <v>52</v>
      </c>
      <c r="E12" s="42">
        <v>1.5</v>
      </c>
      <c r="F12" s="44">
        <v>46272</v>
      </c>
      <c r="G12" s="44">
        <v>46273</v>
      </c>
    </row>
    <row r="13" spans="1:82">
      <c r="A13" s="41" t="s">
        <v>13</v>
      </c>
      <c r="B13" s="42" t="s">
        <v>75</v>
      </c>
      <c r="C13" s="43" t="s">
        <v>165</v>
      </c>
      <c r="D13" s="42" t="s">
        <v>52</v>
      </c>
      <c r="E13" s="42">
        <v>0.5</v>
      </c>
      <c r="F13" s="44">
        <v>46274</v>
      </c>
      <c r="G13" s="44">
        <v>46274</v>
      </c>
    </row>
    <row r="14" spans="1:82">
      <c r="A14" s="41" t="s">
        <v>13</v>
      </c>
      <c r="B14" s="42" t="s">
        <v>75</v>
      </c>
      <c r="C14" s="43" t="s">
        <v>166</v>
      </c>
      <c r="D14" s="42" t="s">
        <v>52</v>
      </c>
      <c r="E14" s="42">
        <v>3.5</v>
      </c>
      <c r="F14" s="44">
        <v>46274</v>
      </c>
      <c r="G14" s="44">
        <v>46275</v>
      </c>
    </row>
    <row r="15" spans="1:82">
      <c r="A15" s="45" t="s">
        <v>126</v>
      </c>
      <c r="B15" s="38"/>
      <c r="C15" s="38"/>
      <c r="D15" s="38"/>
      <c r="E15" s="38"/>
      <c r="F15" s="38"/>
      <c r="G15" s="39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</row>
    <row r="16" spans="1:82">
      <c r="A16" s="41" t="s">
        <v>15</v>
      </c>
      <c r="B16" s="42" t="s">
        <v>167</v>
      </c>
      <c r="C16" s="43" t="s">
        <v>168</v>
      </c>
      <c r="D16" s="42" t="s">
        <v>56</v>
      </c>
      <c r="E16" s="42">
        <v>1.5</v>
      </c>
      <c r="F16" s="44">
        <v>46275</v>
      </c>
      <c r="G16" s="44">
        <v>46276</v>
      </c>
    </row>
    <row r="17" spans="1:7">
      <c r="A17" s="41" t="s">
        <v>15</v>
      </c>
      <c r="B17" s="42" t="s">
        <v>169</v>
      </c>
      <c r="C17" s="43" t="s">
        <v>170</v>
      </c>
      <c r="D17" s="42" t="s">
        <v>56</v>
      </c>
      <c r="E17" s="42">
        <v>2</v>
      </c>
      <c r="F17" s="44">
        <v>46279</v>
      </c>
      <c r="G17" s="44">
        <v>46280</v>
      </c>
    </row>
    <row r="18" spans="1:7">
      <c r="A18" s="41" t="s">
        <v>15</v>
      </c>
      <c r="B18" s="42" t="s">
        <v>171</v>
      </c>
      <c r="C18" s="43" t="s">
        <v>172</v>
      </c>
      <c r="D18" s="42" t="s">
        <v>56</v>
      </c>
      <c r="E18" s="42">
        <v>1</v>
      </c>
      <c r="F18" s="44">
        <v>46281</v>
      </c>
      <c r="G18" s="44">
        <v>46281</v>
      </c>
    </row>
    <row r="19" spans="1:7">
      <c r="A19" s="41" t="s">
        <v>15</v>
      </c>
      <c r="B19" s="42" t="s">
        <v>173</v>
      </c>
      <c r="C19" s="43" t="s">
        <v>174</v>
      </c>
      <c r="D19" s="42" t="s">
        <v>56</v>
      </c>
      <c r="E19" s="42">
        <v>1</v>
      </c>
      <c r="F19" s="44">
        <v>46282</v>
      </c>
      <c r="G19" s="44">
        <v>46282</v>
      </c>
    </row>
    <row r="20" spans="1:7">
      <c r="A20" s="41" t="s">
        <v>15</v>
      </c>
      <c r="B20" s="42" t="s">
        <v>175</v>
      </c>
      <c r="C20" s="43" t="s">
        <v>176</v>
      </c>
      <c r="D20" s="42" t="s">
        <v>56</v>
      </c>
      <c r="E20" s="42">
        <v>1</v>
      </c>
      <c r="F20" s="44">
        <v>46283</v>
      </c>
      <c r="G20" s="44">
        <v>46283</v>
      </c>
    </row>
    <row r="21" spans="1:7">
      <c r="A21" s="41" t="s">
        <v>17</v>
      </c>
      <c r="B21" s="42" t="s">
        <v>177</v>
      </c>
      <c r="C21" s="43" t="s">
        <v>178</v>
      </c>
      <c r="D21" s="42" t="s">
        <v>56</v>
      </c>
      <c r="E21" s="42">
        <v>0.5</v>
      </c>
      <c r="F21" s="44">
        <v>46275</v>
      </c>
      <c r="G21" s="44">
        <v>46275</v>
      </c>
    </row>
    <row r="22" spans="1:7">
      <c r="A22" s="41" t="s">
        <v>17</v>
      </c>
      <c r="B22" s="42" t="s">
        <v>179</v>
      </c>
      <c r="C22" s="43" t="s">
        <v>180</v>
      </c>
      <c r="D22" s="42" t="s">
        <v>56</v>
      </c>
      <c r="E22" s="42">
        <v>1</v>
      </c>
      <c r="F22" s="44">
        <v>46276</v>
      </c>
      <c r="G22" s="44">
        <v>46276</v>
      </c>
    </row>
    <row r="23" spans="1:7">
      <c r="A23" s="41" t="s">
        <v>19</v>
      </c>
      <c r="B23" s="42" t="s">
        <v>181</v>
      </c>
      <c r="C23" s="43" t="s">
        <v>182</v>
      </c>
      <c r="D23" s="42" t="s">
        <v>56</v>
      </c>
      <c r="E23" s="42">
        <v>2</v>
      </c>
      <c r="F23" s="44">
        <v>46276</v>
      </c>
      <c r="G23" s="44">
        <v>46279</v>
      </c>
    </row>
    <row r="24" spans="1:7">
      <c r="A24" s="41" t="s">
        <v>19</v>
      </c>
      <c r="B24" s="42" t="s">
        <v>183</v>
      </c>
      <c r="C24" s="43" t="s">
        <v>184</v>
      </c>
      <c r="D24" s="42" t="s">
        <v>56</v>
      </c>
      <c r="E24" s="42">
        <v>2</v>
      </c>
      <c r="F24" s="44">
        <v>46280</v>
      </c>
      <c r="G24" s="44">
        <v>46281</v>
      </c>
    </row>
    <row r="25" spans="1:7">
      <c r="A25" s="41" t="s">
        <v>19</v>
      </c>
      <c r="B25" s="42" t="s">
        <v>185</v>
      </c>
      <c r="C25" s="43" t="s">
        <v>186</v>
      </c>
      <c r="D25" s="42" t="s">
        <v>56</v>
      </c>
      <c r="E25" s="42">
        <v>2</v>
      </c>
      <c r="F25" s="44">
        <v>46282</v>
      </c>
      <c r="G25" s="44">
        <v>46283</v>
      </c>
    </row>
    <row r="26" spans="1:7">
      <c r="A26" s="41" t="s">
        <v>19</v>
      </c>
      <c r="B26" s="42" t="s">
        <v>185</v>
      </c>
      <c r="C26" s="43" t="s">
        <v>187</v>
      </c>
      <c r="D26" s="42" t="s">
        <v>56</v>
      </c>
      <c r="E26" s="42">
        <v>1.5</v>
      </c>
      <c r="F26" s="44">
        <v>46286</v>
      </c>
      <c r="G26" s="44">
        <v>46287</v>
      </c>
    </row>
    <row r="27" spans="1:7">
      <c r="A27" s="41" t="s">
        <v>19</v>
      </c>
      <c r="B27" s="42" t="s">
        <v>185</v>
      </c>
      <c r="C27" s="43" t="s">
        <v>188</v>
      </c>
      <c r="D27" s="42" t="s">
        <v>56</v>
      </c>
      <c r="E27" s="42">
        <v>1.5</v>
      </c>
      <c r="F27" s="44">
        <v>46288</v>
      </c>
      <c r="G27" s="44">
        <v>46289</v>
      </c>
    </row>
    <row r="28" spans="1:7">
      <c r="A28" s="41" t="s">
        <v>19</v>
      </c>
      <c r="B28" s="42" t="s">
        <v>185</v>
      </c>
      <c r="C28" s="43" t="s">
        <v>189</v>
      </c>
      <c r="D28" s="42" t="s">
        <v>56</v>
      </c>
      <c r="E28" s="42">
        <v>1.5</v>
      </c>
      <c r="F28" s="44">
        <v>46290</v>
      </c>
      <c r="G28" s="44">
        <v>46293</v>
      </c>
    </row>
    <row r="29" spans="1:7">
      <c r="A29" s="41" t="s">
        <v>25</v>
      </c>
      <c r="B29" s="42" t="s">
        <v>190</v>
      </c>
      <c r="C29" s="43" t="s">
        <v>191</v>
      </c>
      <c r="D29" s="42" t="s">
        <v>56</v>
      </c>
      <c r="E29" s="42">
        <v>2</v>
      </c>
      <c r="F29" s="44">
        <v>46276</v>
      </c>
      <c r="G29" s="44">
        <v>46279</v>
      </c>
    </row>
    <row r="30" spans="1:7">
      <c r="A30" s="41" t="s">
        <v>25</v>
      </c>
      <c r="B30" s="42" t="s">
        <v>192</v>
      </c>
      <c r="C30" s="43" t="s">
        <v>193</v>
      </c>
      <c r="D30" s="42" t="s">
        <v>56</v>
      </c>
      <c r="E30" s="42">
        <v>1</v>
      </c>
      <c r="F30" s="44">
        <v>46281</v>
      </c>
      <c r="G30" s="44">
        <v>46281</v>
      </c>
    </row>
    <row r="31" spans="1:7">
      <c r="A31" s="41" t="s">
        <v>28</v>
      </c>
      <c r="B31" s="42" t="s">
        <v>194</v>
      </c>
      <c r="C31" s="43" t="s">
        <v>195</v>
      </c>
      <c r="D31" s="42" t="s">
        <v>56</v>
      </c>
      <c r="E31" s="42">
        <v>2.5</v>
      </c>
      <c r="F31" s="44">
        <v>46282</v>
      </c>
      <c r="G31" s="44">
        <v>46286</v>
      </c>
    </row>
    <row r="32" spans="1:7">
      <c r="A32" s="41" t="s">
        <v>28</v>
      </c>
      <c r="B32" s="42" t="s">
        <v>196</v>
      </c>
      <c r="C32" s="43" t="s">
        <v>197</v>
      </c>
      <c r="D32" s="42" t="s">
        <v>56</v>
      </c>
      <c r="E32" s="42">
        <v>1.5</v>
      </c>
      <c r="F32" s="44">
        <v>46287</v>
      </c>
      <c r="G32" s="44">
        <v>46288</v>
      </c>
    </row>
    <row r="33" spans="1:82">
      <c r="A33" s="41" t="s">
        <v>31</v>
      </c>
      <c r="B33" s="42" t="s">
        <v>198</v>
      </c>
      <c r="C33" s="43" t="s">
        <v>199</v>
      </c>
      <c r="D33" s="42" t="s">
        <v>56</v>
      </c>
      <c r="E33" s="42">
        <v>1</v>
      </c>
      <c r="F33" s="44">
        <v>46289</v>
      </c>
      <c r="G33" s="44">
        <v>46289</v>
      </c>
    </row>
    <row r="34" spans="1:82">
      <c r="A34" s="41" t="s">
        <v>33</v>
      </c>
      <c r="B34" s="42" t="s">
        <v>200</v>
      </c>
      <c r="C34" s="43" t="s">
        <v>201</v>
      </c>
      <c r="D34" s="42" t="s">
        <v>56</v>
      </c>
      <c r="E34" s="42">
        <v>2</v>
      </c>
      <c r="F34" s="44">
        <v>46286</v>
      </c>
      <c r="G34" s="44">
        <v>46287</v>
      </c>
    </row>
    <row r="35" spans="1:82">
      <c r="A35" s="41" t="s">
        <v>33</v>
      </c>
      <c r="B35" s="42" t="s">
        <v>202</v>
      </c>
      <c r="C35" s="43" t="s">
        <v>203</v>
      </c>
      <c r="D35" s="42" t="s">
        <v>56</v>
      </c>
      <c r="E35" s="42">
        <v>1</v>
      </c>
      <c r="F35" s="44">
        <v>46288</v>
      </c>
      <c r="G35" s="44">
        <v>46288</v>
      </c>
    </row>
    <row r="36" spans="1:82">
      <c r="A36" s="41" t="s">
        <v>33</v>
      </c>
      <c r="B36" s="42" t="s">
        <v>204</v>
      </c>
      <c r="C36" s="43" t="s">
        <v>205</v>
      </c>
      <c r="D36" s="42" t="s">
        <v>56</v>
      </c>
      <c r="E36" s="42">
        <v>1.5</v>
      </c>
      <c r="F36" s="44">
        <v>46289</v>
      </c>
      <c r="G36" s="44">
        <v>46290</v>
      </c>
    </row>
    <row r="37" spans="1:82">
      <c r="A37" s="41" t="s">
        <v>33</v>
      </c>
      <c r="B37" s="42" t="s">
        <v>206</v>
      </c>
      <c r="C37" s="43" t="s">
        <v>207</v>
      </c>
      <c r="D37" s="42" t="s">
        <v>56</v>
      </c>
      <c r="E37" s="42">
        <v>1.5</v>
      </c>
      <c r="F37" s="44">
        <v>46293</v>
      </c>
      <c r="G37" s="44">
        <v>46294</v>
      </c>
    </row>
    <row r="38" spans="1:82">
      <c r="A38" s="47" t="s">
        <v>134</v>
      </c>
      <c r="B38" s="38"/>
      <c r="C38" s="38"/>
      <c r="D38" s="38"/>
      <c r="E38" s="38"/>
      <c r="F38" s="38"/>
      <c r="G38" s="39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</row>
    <row r="39" spans="1:82">
      <c r="A39" s="41" t="s">
        <v>15</v>
      </c>
      <c r="B39" s="42" t="s">
        <v>208</v>
      </c>
      <c r="C39" s="43" t="s">
        <v>209</v>
      </c>
      <c r="D39" s="42" t="s">
        <v>60</v>
      </c>
      <c r="E39" s="42">
        <v>3</v>
      </c>
      <c r="F39" s="44">
        <v>46314</v>
      </c>
      <c r="G39" s="44">
        <v>46316</v>
      </c>
    </row>
    <row r="40" spans="1:82">
      <c r="A40" s="41" t="s">
        <v>17</v>
      </c>
      <c r="B40" s="42" t="s">
        <v>210</v>
      </c>
      <c r="C40" s="43" t="s">
        <v>211</v>
      </c>
      <c r="D40" s="42" t="s">
        <v>60</v>
      </c>
      <c r="E40" s="42">
        <v>1.5</v>
      </c>
      <c r="F40" s="44">
        <v>46290</v>
      </c>
      <c r="G40" s="44">
        <v>46293</v>
      </c>
    </row>
    <row r="41" spans="1:82">
      <c r="A41" s="41" t="s">
        <v>17</v>
      </c>
      <c r="B41" s="42" t="s">
        <v>212</v>
      </c>
      <c r="C41" s="43" t="s">
        <v>213</v>
      </c>
      <c r="D41" s="42" t="s">
        <v>60</v>
      </c>
      <c r="E41" s="42">
        <v>1.5</v>
      </c>
      <c r="F41" s="44">
        <v>46294</v>
      </c>
      <c r="G41" s="44">
        <v>46295</v>
      </c>
    </row>
    <row r="42" spans="1:82">
      <c r="A42" s="41" t="s">
        <v>17</v>
      </c>
      <c r="B42" s="42" t="s">
        <v>185</v>
      </c>
      <c r="C42" s="43" t="s">
        <v>214</v>
      </c>
      <c r="D42" s="42" t="s">
        <v>60</v>
      </c>
      <c r="E42" s="42">
        <v>2</v>
      </c>
      <c r="F42" s="44">
        <v>46304</v>
      </c>
      <c r="G42" s="44">
        <v>46308</v>
      </c>
    </row>
    <row r="43" spans="1:82">
      <c r="A43" s="41" t="s">
        <v>19</v>
      </c>
      <c r="B43" s="42" t="s">
        <v>215</v>
      </c>
      <c r="C43" s="43" t="s">
        <v>216</v>
      </c>
      <c r="D43" s="42" t="s">
        <v>60</v>
      </c>
      <c r="E43" s="42">
        <v>4</v>
      </c>
      <c r="F43" s="44">
        <v>46314</v>
      </c>
      <c r="G43" s="44">
        <v>46318</v>
      </c>
    </row>
    <row r="44" spans="1:82">
      <c r="A44" s="41" t="s">
        <v>19</v>
      </c>
      <c r="B44" s="42" t="s">
        <v>217</v>
      </c>
      <c r="C44" s="43" t="s">
        <v>218</v>
      </c>
      <c r="D44" s="42" t="s">
        <v>60</v>
      </c>
      <c r="E44" s="42">
        <v>2</v>
      </c>
      <c r="F44" s="44">
        <v>46321</v>
      </c>
      <c r="G44" s="44">
        <v>46322</v>
      </c>
    </row>
    <row r="45" spans="1:82">
      <c r="A45" s="41" t="s">
        <v>19</v>
      </c>
      <c r="B45" s="42" t="s">
        <v>219</v>
      </c>
      <c r="C45" s="43" t="s">
        <v>220</v>
      </c>
      <c r="D45" s="42" t="s">
        <v>60</v>
      </c>
      <c r="E45" s="42">
        <v>2</v>
      </c>
      <c r="F45" s="44">
        <v>46323</v>
      </c>
      <c r="G45" s="44">
        <v>46324</v>
      </c>
    </row>
    <row r="46" spans="1:82">
      <c r="A46" s="41" t="s">
        <v>19</v>
      </c>
      <c r="B46" s="42" t="s">
        <v>221</v>
      </c>
      <c r="C46" s="43" t="s">
        <v>222</v>
      </c>
      <c r="D46" s="42" t="s">
        <v>60</v>
      </c>
      <c r="E46" s="42">
        <v>3</v>
      </c>
      <c r="F46" s="44">
        <v>46309</v>
      </c>
      <c r="G46" s="44">
        <v>46311</v>
      </c>
    </row>
    <row r="47" spans="1:82">
      <c r="A47" s="41" t="s">
        <v>19</v>
      </c>
      <c r="B47" s="42" t="s">
        <v>185</v>
      </c>
      <c r="C47" s="43" t="s">
        <v>223</v>
      </c>
      <c r="D47" s="42" t="s">
        <v>60</v>
      </c>
      <c r="E47" s="42">
        <v>3</v>
      </c>
      <c r="F47" s="44">
        <v>46325</v>
      </c>
      <c r="G47" s="44">
        <v>46329</v>
      </c>
    </row>
    <row r="48" spans="1:82">
      <c r="A48" s="41" t="s">
        <v>22</v>
      </c>
      <c r="B48" s="42" t="s">
        <v>224</v>
      </c>
      <c r="C48" s="43" t="s">
        <v>225</v>
      </c>
      <c r="D48" s="42" t="s">
        <v>60</v>
      </c>
      <c r="E48" s="42">
        <v>1.5</v>
      </c>
      <c r="F48" s="44">
        <v>46317</v>
      </c>
      <c r="G48" s="44">
        <v>46318</v>
      </c>
    </row>
    <row r="49" spans="1:82">
      <c r="A49" s="41" t="s">
        <v>22</v>
      </c>
      <c r="B49" s="42" t="s">
        <v>226</v>
      </c>
      <c r="C49" s="43" t="s">
        <v>227</v>
      </c>
      <c r="D49" s="42" t="s">
        <v>60</v>
      </c>
      <c r="E49" s="42">
        <v>3</v>
      </c>
      <c r="F49" s="44">
        <v>46321</v>
      </c>
      <c r="G49" s="44">
        <v>46323</v>
      </c>
    </row>
    <row r="50" spans="1:82">
      <c r="A50" s="41" t="s">
        <v>22</v>
      </c>
      <c r="B50" s="42" t="s">
        <v>228</v>
      </c>
      <c r="C50" s="43" t="s">
        <v>229</v>
      </c>
      <c r="D50" s="42" t="s">
        <v>60</v>
      </c>
      <c r="E50" s="42">
        <v>3</v>
      </c>
      <c r="F50" s="44">
        <v>46307</v>
      </c>
      <c r="G50" s="44">
        <v>46310</v>
      </c>
    </row>
    <row r="51" spans="1:82">
      <c r="A51" s="41" t="s">
        <v>22</v>
      </c>
      <c r="B51" s="42" t="s">
        <v>230</v>
      </c>
      <c r="C51" s="43" t="s">
        <v>231</v>
      </c>
      <c r="D51" s="42" t="s">
        <v>60</v>
      </c>
      <c r="E51" s="42">
        <v>2</v>
      </c>
      <c r="F51" s="44">
        <v>46330</v>
      </c>
      <c r="G51" s="44">
        <v>46331</v>
      </c>
    </row>
    <row r="52" spans="1:82">
      <c r="A52" s="41" t="s">
        <v>22</v>
      </c>
      <c r="B52" s="42" t="s">
        <v>232</v>
      </c>
      <c r="C52" s="43" t="s">
        <v>233</v>
      </c>
      <c r="D52" s="42" t="s">
        <v>60</v>
      </c>
      <c r="E52" s="42">
        <v>2</v>
      </c>
      <c r="F52" s="44">
        <v>46324</v>
      </c>
      <c r="G52" s="44">
        <v>46325</v>
      </c>
    </row>
    <row r="53" spans="1:82">
      <c r="A53" s="41" t="s">
        <v>22</v>
      </c>
      <c r="B53" s="42" t="s">
        <v>185</v>
      </c>
      <c r="C53" s="43" t="s">
        <v>234</v>
      </c>
      <c r="D53" s="42" t="s">
        <v>60</v>
      </c>
      <c r="E53" s="42">
        <v>2</v>
      </c>
      <c r="F53" s="44">
        <v>46328</v>
      </c>
      <c r="G53" s="44">
        <v>46329</v>
      </c>
    </row>
    <row r="54" spans="1:82">
      <c r="A54" s="41" t="s">
        <v>28</v>
      </c>
      <c r="B54" s="42" t="s">
        <v>235</v>
      </c>
      <c r="C54" s="43" t="s">
        <v>236</v>
      </c>
      <c r="D54" s="42" t="s">
        <v>60</v>
      </c>
      <c r="E54" s="42">
        <v>2</v>
      </c>
      <c r="F54" s="44">
        <v>46282</v>
      </c>
      <c r="G54" s="44">
        <v>46287</v>
      </c>
    </row>
    <row r="55" spans="1:82">
      <c r="A55" s="41" t="s">
        <v>28</v>
      </c>
      <c r="B55" s="42" t="s">
        <v>237</v>
      </c>
      <c r="C55" s="43" t="s">
        <v>238</v>
      </c>
      <c r="D55" s="42" t="s">
        <v>60</v>
      </c>
      <c r="E55" s="42">
        <v>1.5</v>
      </c>
      <c r="F55" s="44">
        <v>46288</v>
      </c>
      <c r="G55" s="44">
        <v>46289</v>
      </c>
    </row>
    <row r="56" spans="1:82">
      <c r="A56" s="49" t="s">
        <v>140</v>
      </c>
      <c r="B56" s="38"/>
      <c r="C56" s="38"/>
      <c r="D56" s="38"/>
      <c r="E56" s="38"/>
      <c r="F56" s="38"/>
      <c r="G56" s="39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</row>
    <row r="57" spans="1:82">
      <c r="A57" s="41" t="s">
        <v>19</v>
      </c>
      <c r="B57" s="42" t="s">
        <v>185</v>
      </c>
      <c r="C57" s="43" t="s">
        <v>239</v>
      </c>
      <c r="D57" s="42" t="s">
        <v>64</v>
      </c>
      <c r="E57" s="42">
        <v>1.5</v>
      </c>
      <c r="F57" s="44">
        <v>46337</v>
      </c>
      <c r="G57" s="44">
        <v>46338</v>
      </c>
    </row>
    <row r="58" spans="1:82">
      <c r="A58" s="41" t="s">
        <v>19</v>
      </c>
      <c r="B58" s="42" t="s">
        <v>185</v>
      </c>
      <c r="C58" s="43" t="s">
        <v>240</v>
      </c>
      <c r="D58" s="42" t="s">
        <v>64</v>
      </c>
      <c r="E58" s="42">
        <v>1.5</v>
      </c>
      <c r="F58" s="44">
        <v>46339</v>
      </c>
      <c r="G58" s="44">
        <v>46342</v>
      </c>
    </row>
    <row r="59" spans="1:82">
      <c r="A59" s="41" t="s">
        <v>25</v>
      </c>
      <c r="B59" s="42" t="s">
        <v>241</v>
      </c>
      <c r="C59" s="43" t="s">
        <v>242</v>
      </c>
      <c r="D59" s="42" t="s">
        <v>64</v>
      </c>
      <c r="E59" s="42">
        <v>4</v>
      </c>
      <c r="F59" s="44">
        <v>46337</v>
      </c>
      <c r="G59" s="44">
        <v>46343</v>
      </c>
    </row>
    <row r="60" spans="1:82">
      <c r="A60" s="41" t="s">
        <v>25</v>
      </c>
      <c r="B60" s="42" t="s">
        <v>243</v>
      </c>
      <c r="C60" s="43" t="s">
        <v>244</v>
      </c>
      <c r="D60" s="42" t="s">
        <v>64</v>
      </c>
      <c r="E60" s="42">
        <v>2</v>
      </c>
      <c r="F60" s="44">
        <v>46335</v>
      </c>
      <c r="G60" s="44">
        <v>46336</v>
      </c>
    </row>
    <row r="61" spans="1:82">
      <c r="A61" s="41" t="s">
        <v>28</v>
      </c>
      <c r="B61" s="42" t="s">
        <v>245</v>
      </c>
      <c r="C61" s="43" t="s">
        <v>246</v>
      </c>
      <c r="D61" s="42" t="s">
        <v>64</v>
      </c>
      <c r="E61" s="42">
        <v>1.5</v>
      </c>
      <c r="F61" s="44">
        <v>46337</v>
      </c>
      <c r="G61" s="44">
        <v>46338</v>
      </c>
    </row>
    <row r="62" spans="1:82">
      <c r="A62" s="41" t="s">
        <v>28</v>
      </c>
      <c r="B62" s="42" t="s">
        <v>247</v>
      </c>
      <c r="C62" s="43" t="s">
        <v>248</v>
      </c>
      <c r="D62" s="42" t="s">
        <v>64</v>
      </c>
      <c r="E62" s="42">
        <v>4</v>
      </c>
      <c r="F62" s="44">
        <v>46343</v>
      </c>
      <c r="G62" s="44">
        <v>46349</v>
      </c>
    </row>
    <row r="63" spans="1:82">
      <c r="A63" s="41" t="s">
        <v>28</v>
      </c>
      <c r="B63" s="42" t="s">
        <v>249</v>
      </c>
      <c r="C63" s="43" t="s">
        <v>250</v>
      </c>
      <c r="D63" s="42" t="s">
        <v>64</v>
      </c>
      <c r="E63" s="42">
        <v>2.5</v>
      </c>
      <c r="F63" s="44">
        <v>46343</v>
      </c>
      <c r="G63" s="44">
        <v>46345</v>
      </c>
    </row>
    <row r="64" spans="1:82">
      <c r="A64" s="41" t="s">
        <v>31</v>
      </c>
      <c r="B64" s="42" t="s">
        <v>251</v>
      </c>
      <c r="C64" s="43" t="s">
        <v>252</v>
      </c>
      <c r="D64" s="42" t="s">
        <v>64</v>
      </c>
      <c r="E64" s="42">
        <v>0.5</v>
      </c>
      <c r="F64" s="44">
        <v>46339</v>
      </c>
      <c r="G64" s="44">
        <v>46339</v>
      </c>
    </row>
    <row r="65" spans="1:82">
      <c r="A65" s="41" t="s">
        <v>31</v>
      </c>
      <c r="B65" s="42" t="s">
        <v>253</v>
      </c>
      <c r="C65" s="43" t="s">
        <v>254</v>
      </c>
      <c r="D65" s="42" t="s">
        <v>64</v>
      </c>
      <c r="E65" s="42">
        <v>0.5</v>
      </c>
      <c r="F65" s="44">
        <v>46342</v>
      </c>
      <c r="G65" s="44">
        <v>46342</v>
      </c>
    </row>
    <row r="66" spans="1:82">
      <c r="A66" s="41" t="s">
        <v>33</v>
      </c>
      <c r="B66" s="42" t="s">
        <v>185</v>
      </c>
      <c r="C66" s="43" t="s">
        <v>255</v>
      </c>
      <c r="D66" s="42" t="s">
        <v>64</v>
      </c>
      <c r="E66" s="42">
        <v>2</v>
      </c>
      <c r="F66" s="44">
        <v>46332</v>
      </c>
      <c r="G66" s="44">
        <v>46336</v>
      </c>
    </row>
    <row r="67" spans="1:82">
      <c r="A67" s="37" t="s">
        <v>146</v>
      </c>
      <c r="B67" s="38"/>
      <c r="C67" s="38"/>
      <c r="D67" s="38"/>
      <c r="E67" s="38"/>
      <c r="F67" s="38"/>
      <c r="G67" s="39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</row>
    <row r="68" spans="1:82">
      <c r="A68" s="41" t="s">
        <v>36</v>
      </c>
      <c r="B68" s="42" t="s">
        <v>75</v>
      </c>
      <c r="C68" s="43" t="s">
        <v>256</v>
      </c>
      <c r="D68" s="42" t="s">
        <v>72</v>
      </c>
      <c r="E68" s="42">
        <v>10</v>
      </c>
      <c r="F68" s="44">
        <v>46303</v>
      </c>
      <c r="G68" s="44">
        <v>46360</v>
      </c>
    </row>
    <row r="69" spans="1:82">
      <c r="A69" s="41" t="s">
        <v>36</v>
      </c>
      <c r="B69" s="42" t="s">
        <v>75</v>
      </c>
      <c r="C69" s="43" t="s">
        <v>257</v>
      </c>
      <c r="D69" s="42" t="s">
        <v>72</v>
      </c>
      <c r="E69" s="42">
        <v>7</v>
      </c>
      <c r="F69" s="44">
        <v>46309</v>
      </c>
      <c r="G69" s="44">
        <v>46360</v>
      </c>
    </row>
    <row r="70" spans="1:82">
      <c r="A70" s="41" t="s">
        <v>39</v>
      </c>
      <c r="B70" s="42" t="s">
        <v>75</v>
      </c>
      <c r="C70" s="43" t="s">
        <v>258</v>
      </c>
      <c r="D70" s="42" t="s">
        <v>72</v>
      </c>
      <c r="E70" s="42">
        <v>4</v>
      </c>
      <c r="F70" s="44">
        <v>46303</v>
      </c>
      <c r="G70" s="44">
        <v>46358</v>
      </c>
    </row>
    <row r="71" spans="1:82">
      <c r="A71" s="41" t="s">
        <v>39</v>
      </c>
      <c r="B71" s="42" t="s">
        <v>75</v>
      </c>
      <c r="C71" s="43" t="s">
        <v>259</v>
      </c>
      <c r="D71" s="42" t="s">
        <v>72</v>
      </c>
      <c r="E71" s="42">
        <v>6</v>
      </c>
      <c r="F71" s="44">
        <v>46308</v>
      </c>
      <c r="G71" s="44">
        <v>46359</v>
      </c>
    </row>
    <row r="72" spans="1:82">
      <c r="A72" s="41" t="s">
        <v>39</v>
      </c>
      <c r="B72" s="42" t="s">
        <v>75</v>
      </c>
      <c r="C72" s="43" t="s">
        <v>260</v>
      </c>
      <c r="D72" s="42" t="s">
        <v>72</v>
      </c>
      <c r="E72" s="42">
        <v>3</v>
      </c>
      <c r="F72" s="44">
        <v>46310</v>
      </c>
      <c r="G72" s="44">
        <v>46360</v>
      </c>
    </row>
    <row r="73" spans="1:82">
      <c r="A73" s="41" t="s">
        <v>42</v>
      </c>
      <c r="B73" s="42" t="s">
        <v>75</v>
      </c>
      <c r="C73" s="43" t="s">
        <v>261</v>
      </c>
      <c r="D73" s="42" t="s">
        <v>72</v>
      </c>
      <c r="E73" s="42">
        <v>3</v>
      </c>
      <c r="F73" s="44">
        <v>46308</v>
      </c>
      <c r="G73" s="44">
        <v>46360</v>
      </c>
    </row>
    <row r="74" spans="1:82">
      <c r="A74" s="41" t="s">
        <v>42</v>
      </c>
      <c r="B74" s="42" t="s">
        <v>75</v>
      </c>
      <c r="C74" s="43" t="s">
        <v>262</v>
      </c>
      <c r="D74" s="42" t="s">
        <v>72</v>
      </c>
      <c r="E74" s="42">
        <v>5</v>
      </c>
      <c r="F74" s="44">
        <v>46310</v>
      </c>
      <c r="G74" s="44">
        <v>46363</v>
      </c>
    </row>
    <row r="75" spans="1:82">
      <c r="A75" s="41" t="s">
        <v>42</v>
      </c>
      <c r="B75" s="42" t="s">
        <v>75</v>
      </c>
      <c r="C75" s="43" t="s">
        <v>263</v>
      </c>
      <c r="D75" s="42" t="s">
        <v>72</v>
      </c>
      <c r="E75" s="42">
        <v>7</v>
      </c>
      <c r="F75" s="44">
        <v>46311</v>
      </c>
      <c r="G75" s="44">
        <v>46374</v>
      </c>
    </row>
  </sheetData>
  <mergeCells count="9">
    <mergeCell ref="H3:Y3"/>
    <mergeCell ref="Z3:AP3"/>
    <mergeCell ref="AQ3:BK3"/>
    <mergeCell ref="BL3:CD3"/>
    <mergeCell ref="A5:G5"/>
    <mergeCell ref="A15:G15"/>
    <mergeCell ref="A38:G38"/>
    <mergeCell ref="A56:G56"/>
    <mergeCell ref="A67:G67"/>
  </mergeCells>
  <conditionalFormatting sqref="H5:CD75">
    <cfRule type="expression" dxfId="1" priority="68">
      <formula>OR(H$4=DATE(2026,10,16),H$4=DATE(2026,11,17),H$4=DATE(2026,12,7),H$4=DATE(2026,12,25))</formula>
    </cfRule>
    <cfRule type="expression" dxfId="0" priority="67">
      <formula>H$4=TODAY()</formula>
    </cfRule>
  </conditionalFormatting>
  <conditionalFormatting sqref="H6:CD14">
    <cfRule type="expression" dxfId="2" priority="1" stopIfTrue="1">
      <formula>AND(H$4&lt;&gt;"",H$4&lt;=$G6,H$4&gt;=$F6)</formula>
    </cfRule>
  </conditionalFormatting>
  <conditionalFormatting sqref="H16:CD37">
    <cfRule type="expression" dxfId="3" priority="10" stopIfTrue="1">
      <formula>AND(H$4&lt;&gt;"",H$4&lt;=$G16,H$4&gt;=$F16)</formula>
    </cfRule>
  </conditionalFormatting>
  <conditionalFormatting sqref="H39:CD55">
    <cfRule type="expression" dxfId="4" priority="32" stopIfTrue="1">
      <formula>AND(H$4&lt;&gt;"",H$4&lt;=$G39,H$4&gt;=$F39)</formula>
    </cfRule>
  </conditionalFormatting>
  <conditionalFormatting sqref="H57:CD66">
    <cfRule type="expression" dxfId="5" priority="49" stopIfTrue="1">
      <formula>AND(H$4&lt;&gt;"",H$4&lt;=$G57,H$4&gt;=$F57)</formula>
    </cfRule>
  </conditionalFormatting>
  <conditionalFormatting sqref="H68:CD75">
    <cfRule type="expression" dxfId="6" priority="59" stopIfTrue="1">
      <formula>AND(H$4&lt;&gt;"",H$4&lt;=$G68,H$4&gt;=$F68)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"/>
  <sheetViews>
    <sheetView showGridLines="0" workbookViewId="0">
      <pane ySplit="3" topLeftCell="A28" activePane="bottomLeft" state="frozen"/>
      <selection/>
      <selection pane="bottomLeft" activeCell="A1" sqref="A1"/>
    </sheetView>
  </sheetViews>
  <sheetFormatPr defaultColWidth="9" defaultRowHeight="14"/>
  <cols>
    <col min="1" max="1" width="6" customWidth="1"/>
    <col min="2" max="2" width="15" customWidth="1"/>
    <col min="3" max="3" width="11" customWidth="1"/>
    <col min="4" max="4" width="38" customWidth="1"/>
    <col min="5" max="5" width="6" customWidth="1"/>
    <col min="6" max="6" width="26" customWidth="1"/>
    <col min="7" max="8" width="7" customWidth="1"/>
    <col min="9" max="9" width="12" customWidth="1"/>
    <col min="10" max="10" width="9" customWidth="1"/>
    <col min="11" max="12" width="12" customWidth="1"/>
    <col min="13" max="13" width="34" customWidth="1"/>
  </cols>
  <sheetData>
    <row r="1" ht="18" customHeight="1" spans="1:13">
      <c r="A1" s="1" t="s">
        <v>264</v>
      </c>
    </row>
    <row r="2" ht="15" customHeight="1" spans="1:13">
      <c r="A2" s="2" t="s">
        <v>265</v>
      </c>
    </row>
    <row r="3" ht="30" customHeight="1" spans="1:13">
      <c r="A3" s="3" t="s">
        <v>1</v>
      </c>
      <c r="B3" s="3" t="s">
        <v>2</v>
      </c>
      <c r="C3" s="3" t="s">
        <v>152</v>
      </c>
      <c r="D3" s="3" t="s">
        <v>153</v>
      </c>
      <c r="E3" s="3" t="s">
        <v>266</v>
      </c>
      <c r="F3" s="3" t="s">
        <v>267</v>
      </c>
      <c r="G3" s="3" t="s">
        <v>47</v>
      </c>
      <c r="H3" s="3" t="s">
        <v>118</v>
      </c>
      <c r="I3" s="3" t="s">
        <v>268</v>
      </c>
      <c r="J3" s="3" t="s">
        <v>269</v>
      </c>
      <c r="K3" s="3" t="s">
        <v>270</v>
      </c>
      <c r="L3" s="3" t="s">
        <v>271</v>
      </c>
      <c r="M3" s="3" t="s">
        <v>272</v>
      </c>
    </row>
    <row r="4" ht="26" customHeight="1" spans="1:13">
      <c r="A4" s="4" t="s">
        <v>7</v>
      </c>
      <c r="B4" s="5" t="s">
        <v>8</v>
      </c>
      <c r="C4" s="6" t="s">
        <v>75</v>
      </c>
      <c r="D4" s="5" t="s">
        <v>273</v>
      </c>
      <c r="E4" s="6" t="s">
        <v>274</v>
      </c>
      <c r="F4" s="5" t="s">
        <v>275</v>
      </c>
      <c r="G4" s="7" t="s">
        <v>52</v>
      </c>
      <c r="H4" s="8">
        <v>1.5</v>
      </c>
      <c r="I4" s="8">
        <f>H4*(1+汇总!$C$46)</f>
        <v>1.725</v>
      </c>
      <c r="J4" s="9" t="s">
        <v>276</v>
      </c>
      <c r="K4" s="10">
        <v>46272</v>
      </c>
      <c r="L4" s="10">
        <v>46273</v>
      </c>
      <c r="M4" s="5" t="s">
        <v>277</v>
      </c>
    </row>
    <row r="5" ht="52" customHeight="1" spans="1:13">
      <c r="A5" s="4" t="s">
        <v>7</v>
      </c>
      <c r="B5" s="5" t="s">
        <v>8</v>
      </c>
      <c r="C5" s="6" t="s">
        <v>75</v>
      </c>
      <c r="D5" s="5" t="s">
        <v>159</v>
      </c>
      <c r="E5" s="6" t="s">
        <v>274</v>
      </c>
      <c r="F5" s="5" t="s">
        <v>75</v>
      </c>
      <c r="G5" s="7" t="s">
        <v>52</v>
      </c>
      <c r="H5" s="8">
        <v>2</v>
      </c>
      <c r="I5" s="8">
        <f>H5*(1+汇总!$C$46)</f>
        <v>2.3</v>
      </c>
      <c r="J5" s="9" t="s">
        <v>276</v>
      </c>
      <c r="K5" s="10">
        <v>46274</v>
      </c>
      <c r="L5" s="10">
        <v>46275</v>
      </c>
      <c r="M5" s="5" t="s">
        <v>278</v>
      </c>
    </row>
    <row r="6" spans="1:13">
      <c r="A6" s="4" t="s">
        <v>7</v>
      </c>
      <c r="B6" s="5" t="s">
        <v>8</v>
      </c>
      <c r="C6" s="6" t="s">
        <v>75</v>
      </c>
      <c r="D6" s="5" t="s">
        <v>279</v>
      </c>
      <c r="E6" s="6" t="s">
        <v>280</v>
      </c>
      <c r="F6" s="5" t="s">
        <v>275</v>
      </c>
      <c r="G6" s="7" t="s">
        <v>52</v>
      </c>
      <c r="H6" s="8">
        <v>1.5</v>
      </c>
      <c r="I6" s="8">
        <f>H6*(1+汇总!$C$46)</f>
        <v>1.725</v>
      </c>
      <c r="J6" s="9" t="s">
        <v>276</v>
      </c>
      <c r="K6" s="10">
        <v>46274</v>
      </c>
      <c r="L6" s="10">
        <v>46275</v>
      </c>
      <c r="M6" s="5"/>
    </row>
    <row r="7" ht="52" customHeight="1" spans="1:13">
      <c r="A7" s="4" t="s">
        <v>7</v>
      </c>
      <c r="B7" s="5" t="s">
        <v>8</v>
      </c>
      <c r="C7" s="6" t="s">
        <v>75</v>
      </c>
      <c r="D7" s="5" t="s">
        <v>161</v>
      </c>
      <c r="E7" s="6" t="s">
        <v>280</v>
      </c>
      <c r="F7" s="5" t="s">
        <v>275</v>
      </c>
      <c r="G7" s="7" t="s">
        <v>52</v>
      </c>
      <c r="H7" s="8">
        <v>1</v>
      </c>
      <c r="I7" s="8">
        <f>H7*(1+汇总!$C$46)</f>
        <v>1.15</v>
      </c>
      <c r="J7" s="9" t="s">
        <v>276</v>
      </c>
      <c r="K7" s="10">
        <v>46276</v>
      </c>
      <c r="L7" s="10">
        <v>46276</v>
      </c>
      <c r="M7" s="5" t="s">
        <v>281</v>
      </c>
    </row>
    <row r="8" ht="26" customHeight="1" spans="1:13">
      <c r="A8" s="4" t="s">
        <v>10</v>
      </c>
      <c r="B8" s="5" t="s">
        <v>11</v>
      </c>
      <c r="C8" s="6" t="s">
        <v>75</v>
      </c>
      <c r="D8" s="5" t="s">
        <v>162</v>
      </c>
      <c r="E8" s="6" t="s">
        <v>282</v>
      </c>
      <c r="F8" s="5" t="s">
        <v>283</v>
      </c>
      <c r="G8" s="7" t="s">
        <v>52</v>
      </c>
      <c r="H8" s="8">
        <v>0.5</v>
      </c>
      <c r="I8" s="8">
        <f>H8*(1+汇总!$C$46)</f>
        <v>0.575</v>
      </c>
      <c r="J8" s="9" t="s">
        <v>276</v>
      </c>
      <c r="K8" s="10">
        <v>46275</v>
      </c>
      <c r="L8" s="10">
        <v>46275</v>
      </c>
      <c r="M8" s="5" t="s">
        <v>284</v>
      </c>
    </row>
    <row r="9" ht="39" customHeight="1" spans="1:13">
      <c r="A9" s="4" t="s">
        <v>10</v>
      </c>
      <c r="B9" s="5" t="s">
        <v>11</v>
      </c>
      <c r="C9" s="6" t="s">
        <v>75</v>
      </c>
      <c r="D9" s="5" t="s">
        <v>163</v>
      </c>
      <c r="E9" s="6" t="s">
        <v>282</v>
      </c>
      <c r="F9" s="5" t="s">
        <v>285</v>
      </c>
      <c r="G9" s="7" t="s">
        <v>52</v>
      </c>
      <c r="H9" s="8">
        <v>0.5</v>
      </c>
      <c r="I9" s="8">
        <f>H9*(1+汇总!$C$46)</f>
        <v>0.575</v>
      </c>
      <c r="J9" s="9" t="s">
        <v>276</v>
      </c>
      <c r="K9" s="10">
        <v>46276</v>
      </c>
      <c r="L9" s="10">
        <v>46276</v>
      </c>
      <c r="M9" s="5" t="s">
        <v>286</v>
      </c>
    </row>
    <row r="10" ht="26" customHeight="1" spans="1:13">
      <c r="A10" s="4" t="s">
        <v>13</v>
      </c>
      <c r="B10" s="5" t="s">
        <v>14</v>
      </c>
      <c r="C10" s="6" t="s">
        <v>75</v>
      </c>
      <c r="D10" s="5" t="s">
        <v>164</v>
      </c>
      <c r="E10" s="6" t="s">
        <v>287</v>
      </c>
      <c r="F10" s="5" t="s">
        <v>75</v>
      </c>
      <c r="G10" s="7" t="s">
        <v>52</v>
      </c>
      <c r="H10" s="8">
        <v>1.5</v>
      </c>
      <c r="I10" s="8">
        <f>H10*(1+汇总!$C$46)</f>
        <v>1.725</v>
      </c>
      <c r="J10" s="9" t="s">
        <v>288</v>
      </c>
      <c r="K10" s="10">
        <v>46272</v>
      </c>
      <c r="L10" s="10">
        <v>46273</v>
      </c>
      <c r="M10" s="5" t="s">
        <v>289</v>
      </c>
    </row>
    <row r="11" ht="39" customHeight="1" spans="1:13">
      <c r="A11" s="4" t="s">
        <v>13</v>
      </c>
      <c r="B11" s="5" t="s">
        <v>14</v>
      </c>
      <c r="C11" s="6" t="s">
        <v>75</v>
      </c>
      <c r="D11" s="5" t="s">
        <v>165</v>
      </c>
      <c r="E11" s="6" t="s">
        <v>287</v>
      </c>
      <c r="F11" s="5" t="s">
        <v>75</v>
      </c>
      <c r="G11" s="7" t="s">
        <v>52</v>
      </c>
      <c r="H11" s="8">
        <v>0.5</v>
      </c>
      <c r="I11" s="8">
        <f>H11*(1+汇总!$C$46)</f>
        <v>0.575</v>
      </c>
      <c r="J11" s="9" t="s">
        <v>288</v>
      </c>
      <c r="K11" s="10">
        <v>46274</v>
      </c>
      <c r="L11" s="10">
        <v>46274</v>
      </c>
      <c r="M11" s="5" t="s">
        <v>290</v>
      </c>
    </row>
    <row r="12" ht="26" customHeight="1" spans="1:13">
      <c r="A12" s="4" t="s">
        <v>13</v>
      </c>
      <c r="B12" s="5" t="s">
        <v>14</v>
      </c>
      <c r="C12" s="6" t="s">
        <v>75</v>
      </c>
      <c r="D12" s="5" t="s">
        <v>291</v>
      </c>
      <c r="E12" s="6" t="s">
        <v>287</v>
      </c>
      <c r="F12" s="5" t="s">
        <v>292</v>
      </c>
      <c r="G12" s="7" t="s">
        <v>52</v>
      </c>
      <c r="H12" s="8">
        <v>3.5</v>
      </c>
      <c r="I12" s="8">
        <f>H12*(1+汇总!$C$46)</f>
        <v>4.025</v>
      </c>
      <c r="J12" s="9" t="s">
        <v>288</v>
      </c>
      <c r="K12" s="10">
        <v>46274</v>
      </c>
      <c r="L12" s="10">
        <v>46275</v>
      </c>
      <c r="M12" s="5" t="s">
        <v>293</v>
      </c>
    </row>
    <row r="13" spans="1:13">
      <c r="A13" s="4" t="s">
        <v>15</v>
      </c>
      <c r="B13" s="5" t="s">
        <v>16</v>
      </c>
      <c r="C13" s="6" t="s">
        <v>167</v>
      </c>
      <c r="D13" s="5" t="s">
        <v>168</v>
      </c>
      <c r="E13" s="6" t="s">
        <v>287</v>
      </c>
      <c r="F13" s="5" t="s">
        <v>294</v>
      </c>
      <c r="G13" s="11" t="s">
        <v>56</v>
      </c>
      <c r="H13" s="8">
        <v>1.5</v>
      </c>
      <c r="I13" s="8">
        <f>H13*(1+汇总!$C$46)</f>
        <v>1.725</v>
      </c>
      <c r="J13" s="9" t="s">
        <v>288</v>
      </c>
      <c r="K13" s="10">
        <v>46275</v>
      </c>
      <c r="L13" s="10">
        <v>46276</v>
      </c>
      <c r="M13" s="5"/>
    </row>
    <row r="14" spans="1:13">
      <c r="A14" s="4" t="s">
        <v>15</v>
      </c>
      <c r="B14" s="5" t="s">
        <v>16</v>
      </c>
      <c r="C14" s="6" t="s">
        <v>169</v>
      </c>
      <c r="D14" s="5" t="s">
        <v>170</v>
      </c>
      <c r="E14" s="6" t="s">
        <v>287</v>
      </c>
      <c r="F14" s="5" t="s">
        <v>295</v>
      </c>
      <c r="G14" s="11" t="s">
        <v>56</v>
      </c>
      <c r="H14" s="8">
        <v>2</v>
      </c>
      <c r="I14" s="8">
        <f>H14*(1+汇总!$C$46)</f>
        <v>2.3</v>
      </c>
      <c r="J14" s="9" t="s">
        <v>288</v>
      </c>
      <c r="K14" s="10">
        <v>46279</v>
      </c>
      <c r="L14" s="10">
        <v>46280</v>
      </c>
      <c r="M14" s="5"/>
    </row>
    <row r="15" spans="1:13">
      <c r="A15" s="4" t="s">
        <v>15</v>
      </c>
      <c r="B15" s="5" t="s">
        <v>16</v>
      </c>
      <c r="C15" s="6" t="s">
        <v>171</v>
      </c>
      <c r="D15" s="5" t="s">
        <v>172</v>
      </c>
      <c r="E15" s="6" t="s">
        <v>287</v>
      </c>
      <c r="F15" s="5" t="s">
        <v>296</v>
      </c>
      <c r="G15" s="11" t="s">
        <v>56</v>
      </c>
      <c r="H15" s="8">
        <v>1</v>
      </c>
      <c r="I15" s="8">
        <f>H15*(1+汇总!$C$46)</f>
        <v>1.15</v>
      </c>
      <c r="J15" s="9" t="s">
        <v>288</v>
      </c>
      <c r="K15" s="10">
        <v>46281</v>
      </c>
      <c r="L15" s="10">
        <v>46281</v>
      </c>
      <c r="M15" s="5"/>
    </row>
    <row r="16" spans="1:13">
      <c r="A16" s="4" t="s">
        <v>15</v>
      </c>
      <c r="B16" s="5" t="s">
        <v>16</v>
      </c>
      <c r="C16" s="6" t="s">
        <v>173</v>
      </c>
      <c r="D16" s="5" t="s">
        <v>174</v>
      </c>
      <c r="E16" s="6" t="s">
        <v>287</v>
      </c>
      <c r="F16" s="5" t="s">
        <v>297</v>
      </c>
      <c r="G16" s="11" t="s">
        <v>56</v>
      </c>
      <c r="H16" s="8">
        <v>1</v>
      </c>
      <c r="I16" s="8">
        <f>H16*(1+汇总!$C$46)</f>
        <v>1.15</v>
      </c>
      <c r="J16" s="9" t="s">
        <v>288</v>
      </c>
      <c r="K16" s="10">
        <v>46282</v>
      </c>
      <c r="L16" s="10">
        <v>46282</v>
      </c>
      <c r="M16" s="5"/>
    </row>
    <row r="17" ht="26" customHeight="1" spans="1:13">
      <c r="A17" s="4" t="s">
        <v>15</v>
      </c>
      <c r="B17" s="5" t="s">
        <v>16</v>
      </c>
      <c r="C17" s="6" t="s">
        <v>208</v>
      </c>
      <c r="D17" s="5" t="s">
        <v>298</v>
      </c>
      <c r="E17" s="6" t="s">
        <v>287</v>
      </c>
      <c r="F17" s="5" t="s">
        <v>299</v>
      </c>
      <c r="G17" s="12" t="s">
        <v>60</v>
      </c>
      <c r="H17" s="8">
        <v>3</v>
      </c>
      <c r="I17" s="8">
        <f>H17*(1+汇总!$C$46)</f>
        <v>3.45</v>
      </c>
      <c r="J17" s="9" t="s">
        <v>288</v>
      </c>
      <c r="K17" s="10">
        <v>46314</v>
      </c>
      <c r="L17" s="10">
        <v>46316</v>
      </c>
      <c r="M17" s="5" t="s">
        <v>300</v>
      </c>
    </row>
    <row r="18" ht="39" customHeight="1" spans="1:13">
      <c r="A18" s="4" t="s">
        <v>15</v>
      </c>
      <c r="B18" s="5" t="s">
        <v>16</v>
      </c>
      <c r="C18" s="6" t="s">
        <v>175</v>
      </c>
      <c r="D18" s="5" t="s">
        <v>301</v>
      </c>
      <c r="E18" s="6" t="s">
        <v>287</v>
      </c>
      <c r="F18" s="5" t="s">
        <v>302</v>
      </c>
      <c r="G18" s="11" t="s">
        <v>56</v>
      </c>
      <c r="H18" s="8">
        <v>1</v>
      </c>
      <c r="I18" s="8">
        <f>H18*(1+汇总!$C$46)</f>
        <v>1.15</v>
      </c>
      <c r="J18" s="9" t="s">
        <v>288</v>
      </c>
      <c r="K18" s="10">
        <v>46283</v>
      </c>
      <c r="L18" s="10">
        <v>46283</v>
      </c>
      <c r="M18" s="5" t="s">
        <v>303</v>
      </c>
    </row>
    <row r="19" spans="1:13">
      <c r="A19" s="4" t="s">
        <v>17</v>
      </c>
      <c r="B19" s="5" t="s">
        <v>18</v>
      </c>
      <c r="C19" s="6" t="s">
        <v>177</v>
      </c>
      <c r="D19" s="5" t="s">
        <v>178</v>
      </c>
      <c r="E19" s="6" t="s">
        <v>287</v>
      </c>
      <c r="F19" s="5" t="s">
        <v>304</v>
      </c>
      <c r="G19" s="11" t="s">
        <v>56</v>
      </c>
      <c r="H19" s="8">
        <v>0.5</v>
      </c>
      <c r="I19" s="8">
        <f>H19*(1+汇总!$C$46)</f>
        <v>0.575</v>
      </c>
      <c r="J19" s="9" t="s">
        <v>288</v>
      </c>
      <c r="K19" s="10">
        <v>46275</v>
      </c>
      <c r="L19" s="10">
        <v>46275</v>
      </c>
      <c r="M19" s="5"/>
    </row>
    <row r="20" spans="1:13">
      <c r="A20" s="4" t="s">
        <v>17</v>
      </c>
      <c r="B20" s="5" t="s">
        <v>18</v>
      </c>
      <c r="C20" s="6" t="s">
        <v>179</v>
      </c>
      <c r="D20" s="5" t="s">
        <v>180</v>
      </c>
      <c r="E20" s="6" t="s">
        <v>287</v>
      </c>
      <c r="F20" s="5" t="s">
        <v>305</v>
      </c>
      <c r="G20" s="11" t="s">
        <v>56</v>
      </c>
      <c r="H20" s="8">
        <v>1</v>
      </c>
      <c r="I20" s="8">
        <f>H20*(1+汇总!$C$46)</f>
        <v>1.15</v>
      </c>
      <c r="J20" s="9" t="s">
        <v>288</v>
      </c>
      <c r="K20" s="10">
        <v>46276</v>
      </c>
      <c r="L20" s="10">
        <v>46276</v>
      </c>
      <c r="M20" s="5"/>
    </row>
    <row r="21" ht="78" customHeight="1" spans="1:13">
      <c r="A21" s="4" t="s">
        <v>17</v>
      </c>
      <c r="B21" s="5" t="s">
        <v>18</v>
      </c>
      <c r="C21" s="6" t="s">
        <v>210</v>
      </c>
      <c r="D21" s="5" t="s">
        <v>211</v>
      </c>
      <c r="E21" s="6" t="s">
        <v>287</v>
      </c>
      <c r="F21" s="5" t="s">
        <v>306</v>
      </c>
      <c r="G21" s="12" t="s">
        <v>60</v>
      </c>
      <c r="H21" s="8">
        <v>1.5</v>
      </c>
      <c r="I21" s="8">
        <f>H21*(1+汇总!$C$46)</f>
        <v>1.725</v>
      </c>
      <c r="J21" s="9" t="s">
        <v>288</v>
      </c>
      <c r="K21" s="10">
        <v>46290</v>
      </c>
      <c r="L21" s="10">
        <v>46293</v>
      </c>
      <c r="M21" s="5" t="s">
        <v>307</v>
      </c>
    </row>
    <row r="22" ht="78" customHeight="1" spans="1:13">
      <c r="A22" s="4" t="s">
        <v>17</v>
      </c>
      <c r="B22" s="5" t="s">
        <v>18</v>
      </c>
      <c r="C22" s="6" t="s">
        <v>212</v>
      </c>
      <c r="D22" s="5" t="s">
        <v>213</v>
      </c>
      <c r="E22" s="6" t="s">
        <v>287</v>
      </c>
      <c r="F22" s="5" t="s">
        <v>308</v>
      </c>
      <c r="G22" s="12" t="s">
        <v>60</v>
      </c>
      <c r="H22" s="8">
        <v>1.5</v>
      </c>
      <c r="I22" s="8">
        <f>H22*(1+汇总!$C$46)</f>
        <v>1.725</v>
      </c>
      <c r="J22" s="9" t="s">
        <v>288</v>
      </c>
      <c r="K22" s="10">
        <v>46294</v>
      </c>
      <c r="L22" s="10">
        <v>46295</v>
      </c>
      <c r="M22" s="5" t="s">
        <v>307</v>
      </c>
    </row>
    <row r="23" ht="26" customHeight="1" spans="1:13">
      <c r="A23" s="4" t="s">
        <v>17</v>
      </c>
      <c r="B23" s="5" t="s">
        <v>18</v>
      </c>
      <c r="C23" s="13" t="s">
        <v>185</v>
      </c>
      <c r="D23" s="14" t="s">
        <v>214</v>
      </c>
      <c r="E23" s="6" t="s">
        <v>287</v>
      </c>
      <c r="F23" s="14" t="s">
        <v>309</v>
      </c>
      <c r="G23" s="12" t="s">
        <v>60</v>
      </c>
      <c r="H23" s="8">
        <v>2</v>
      </c>
      <c r="I23" s="8">
        <f>H23*(1+汇总!$C$46)</f>
        <v>2.3</v>
      </c>
      <c r="J23" s="9" t="s">
        <v>288</v>
      </c>
      <c r="K23" s="10">
        <v>46304</v>
      </c>
      <c r="L23" s="10">
        <v>46308</v>
      </c>
      <c r="M23" s="5" t="s">
        <v>310</v>
      </c>
    </row>
    <row r="24" ht="26" customHeight="1" spans="1:13">
      <c r="A24" s="4" t="s">
        <v>19</v>
      </c>
      <c r="B24" s="5" t="s">
        <v>20</v>
      </c>
      <c r="C24" s="6" t="s">
        <v>181</v>
      </c>
      <c r="D24" s="5" t="s">
        <v>311</v>
      </c>
      <c r="E24" s="6" t="s">
        <v>287</v>
      </c>
      <c r="F24" s="5" t="s">
        <v>312</v>
      </c>
      <c r="G24" s="11" t="s">
        <v>56</v>
      </c>
      <c r="H24" s="8">
        <v>2</v>
      </c>
      <c r="I24" s="8">
        <f>H24*(1+汇总!$C$46)</f>
        <v>2.3</v>
      </c>
      <c r="J24" s="9" t="s">
        <v>288</v>
      </c>
      <c r="K24" s="10">
        <v>46276</v>
      </c>
      <c r="L24" s="10">
        <v>46279</v>
      </c>
      <c r="M24" s="5" t="s">
        <v>313</v>
      </c>
    </row>
    <row r="25" ht="26" customHeight="1" spans="1:13">
      <c r="A25" s="4" t="s">
        <v>19</v>
      </c>
      <c r="B25" s="5" t="s">
        <v>20</v>
      </c>
      <c r="C25" s="6" t="s">
        <v>215</v>
      </c>
      <c r="D25" s="15" t="s">
        <v>314</v>
      </c>
      <c r="E25" s="6" t="s">
        <v>287</v>
      </c>
      <c r="F25" s="5" t="s">
        <v>315</v>
      </c>
      <c r="G25" s="12" t="s">
        <v>60</v>
      </c>
      <c r="H25" s="8">
        <v>4</v>
      </c>
      <c r="I25" s="8">
        <f>H25*(1+汇总!$C$46)</f>
        <v>4.6</v>
      </c>
      <c r="J25" s="9" t="s">
        <v>288</v>
      </c>
      <c r="K25" s="10">
        <v>46314</v>
      </c>
      <c r="L25" s="10">
        <v>46318</v>
      </c>
      <c r="M25" s="5" t="s">
        <v>316</v>
      </c>
    </row>
    <row r="26" spans="1:13">
      <c r="A26" s="4" t="s">
        <v>19</v>
      </c>
      <c r="B26" s="5" t="s">
        <v>20</v>
      </c>
      <c r="C26" s="6" t="s">
        <v>217</v>
      </c>
      <c r="D26" s="5" t="s">
        <v>218</v>
      </c>
      <c r="E26" s="6" t="s">
        <v>287</v>
      </c>
      <c r="F26" s="5" t="s">
        <v>317</v>
      </c>
      <c r="G26" s="12" t="s">
        <v>60</v>
      </c>
      <c r="H26" s="8">
        <v>2</v>
      </c>
      <c r="I26" s="8">
        <f>H26*(1+汇总!$C$46)</f>
        <v>2.3</v>
      </c>
      <c r="J26" s="9" t="s">
        <v>288</v>
      </c>
      <c r="K26" s="10">
        <v>46321</v>
      </c>
      <c r="L26" s="10">
        <v>46322</v>
      </c>
      <c r="M26" s="5"/>
    </row>
    <row r="27" ht="26" customHeight="1" spans="1:13">
      <c r="A27" s="4" t="s">
        <v>19</v>
      </c>
      <c r="B27" s="5" t="s">
        <v>20</v>
      </c>
      <c r="C27" s="6" t="s">
        <v>219</v>
      </c>
      <c r="D27" s="5" t="s">
        <v>220</v>
      </c>
      <c r="E27" s="6" t="s">
        <v>287</v>
      </c>
      <c r="F27" s="5" t="s">
        <v>318</v>
      </c>
      <c r="G27" s="12" t="s">
        <v>60</v>
      </c>
      <c r="H27" s="8">
        <v>2</v>
      </c>
      <c r="I27" s="8">
        <f>H27*(1+汇总!$C$46)</f>
        <v>2.3</v>
      </c>
      <c r="J27" s="9" t="s">
        <v>288</v>
      </c>
      <c r="K27" s="10">
        <v>46323</v>
      </c>
      <c r="L27" s="10">
        <v>46324</v>
      </c>
      <c r="M27" s="5" t="s">
        <v>319</v>
      </c>
    </row>
    <row r="28" ht="78" customHeight="1" spans="1:13">
      <c r="A28" s="4" t="s">
        <v>19</v>
      </c>
      <c r="B28" s="5" t="s">
        <v>20</v>
      </c>
      <c r="C28" s="6" t="s">
        <v>221</v>
      </c>
      <c r="D28" s="5" t="s">
        <v>222</v>
      </c>
      <c r="E28" s="6" t="s">
        <v>287</v>
      </c>
      <c r="F28" s="5" t="s">
        <v>320</v>
      </c>
      <c r="G28" s="12" t="s">
        <v>60</v>
      </c>
      <c r="H28" s="8">
        <v>3</v>
      </c>
      <c r="I28" s="8">
        <f>H28*(1+汇总!$C$46)</f>
        <v>3.45</v>
      </c>
      <c r="J28" s="9" t="s">
        <v>288</v>
      </c>
      <c r="K28" s="10">
        <v>46309</v>
      </c>
      <c r="L28" s="10">
        <v>46311</v>
      </c>
      <c r="M28" s="5" t="s">
        <v>307</v>
      </c>
    </row>
    <row r="29" spans="1:13">
      <c r="A29" s="4" t="s">
        <v>19</v>
      </c>
      <c r="B29" s="5" t="s">
        <v>20</v>
      </c>
      <c r="C29" s="6" t="s">
        <v>183</v>
      </c>
      <c r="D29" s="5" t="s">
        <v>184</v>
      </c>
      <c r="E29" s="6" t="s">
        <v>287</v>
      </c>
      <c r="F29" s="5" t="s">
        <v>321</v>
      </c>
      <c r="G29" s="11" t="s">
        <v>56</v>
      </c>
      <c r="H29" s="8">
        <v>2</v>
      </c>
      <c r="I29" s="8">
        <f>H29*(1+汇总!$C$46)</f>
        <v>2.3</v>
      </c>
      <c r="J29" s="9" t="s">
        <v>288</v>
      </c>
      <c r="K29" s="10">
        <v>46280</v>
      </c>
      <c r="L29" s="10">
        <v>46281</v>
      </c>
      <c r="M29" s="5"/>
    </row>
    <row r="30" ht="39" customHeight="1" spans="1:13">
      <c r="A30" s="4" t="s">
        <v>19</v>
      </c>
      <c r="B30" s="5" t="s">
        <v>20</v>
      </c>
      <c r="C30" s="13" t="s">
        <v>185</v>
      </c>
      <c r="D30" s="14" t="s">
        <v>322</v>
      </c>
      <c r="E30" s="6" t="s">
        <v>287</v>
      </c>
      <c r="F30" s="14" t="s">
        <v>323</v>
      </c>
      <c r="G30" s="11" t="s">
        <v>56</v>
      </c>
      <c r="H30" s="8">
        <v>2</v>
      </c>
      <c r="I30" s="8">
        <f>H30*(1+汇总!$C$46)</f>
        <v>2.3</v>
      </c>
      <c r="J30" s="9" t="s">
        <v>288</v>
      </c>
      <c r="K30" s="10">
        <v>46282</v>
      </c>
      <c r="L30" s="10">
        <v>46283</v>
      </c>
      <c r="M30" s="5" t="s">
        <v>324</v>
      </c>
    </row>
    <row r="31" spans="1:13">
      <c r="A31" s="4" t="s">
        <v>19</v>
      </c>
      <c r="B31" s="5" t="s">
        <v>20</v>
      </c>
      <c r="C31" s="13" t="s">
        <v>185</v>
      </c>
      <c r="D31" s="14" t="s">
        <v>187</v>
      </c>
      <c r="E31" s="6" t="s">
        <v>287</v>
      </c>
      <c r="F31" s="14" t="s">
        <v>325</v>
      </c>
      <c r="G31" s="11" t="s">
        <v>56</v>
      </c>
      <c r="H31" s="8">
        <v>1.5</v>
      </c>
      <c r="I31" s="8">
        <f>H31*(1+汇总!$C$46)</f>
        <v>1.725</v>
      </c>
      <c r="J31" s="9" t="s">
        <v>288</v>
      </c>
      <c r="K31" s="10">
        <v>46286</v>
      </c>
      <c r="L31" s="10">
        <v>46287</v>
      </c>
      <c r="M31" s="5" t="s">
        <v>326</v>
      </c>
    </row>
    <row r="32" spans="1:13">
      <c r="A32" s="4" t="s">
        <v>19</v>
      </c>
      <c r="B32" s="5" t="s">
        <v>20</v>
      </c>
      <c r="C32" s="13" t="s">
        <v>185</v>
      </c>
      <c r="D32" s="14" t="s">
        <v>188</v>
      </c>
      <c r="E32" s="6" t="s">
        <v>287</v>
      </c>
      <c r="F32" s="14" t="s">
        <v>327</v>
      </c>
      <c r="G32" s="11" t="s">
        <v>56</v>
      </c>
      <c r="H32" s="8">
        <v>1.5</v>
      </c>
      <c r="I32" s="8">
        <f>H32*(1+汇总!$C$46)</f>
        <v>1.725</v>
      </c>
      <c r="J32" s="9" t="s">
        <v>288</v>
      </c>
      <c r="K32" s="10">
        <v>46288</v>
      </c>
      <c r="L32" s="10">
        <v>46289</v>
      </c>
      <c r="M32" s="5" t="s">
        <v>326</v>
      </c>
    </row>
    <row r="33" spans="1:13">
      <c r="A33" s="4" t="s">
        <v>19</v>
      </c>
      <c r="B33" s="5" t="s">
        <v>20</v>
      </c>
      <c r="C33" s="13" t="s">
        <v>185</v>
      </c>
      <c r="D33" s="14" t="s">
        <v>189</v>
      </c>
      <c r="E33" s="6" t="s">
        <v>287</v>
      </c>
      <c r="F33" s="14" t="s">
        <v>328</v>
      </c>
      <c r="G33" s="11" t="s">
        <v>56</v>
      </c>
      <c r="H33" s="8">
        <v>1.5</v>
      </c>
      <c r="I33" s="8">
        <f>H33*(1+汇总!$C$46)</f>
        <v>1.725</v>
      </c>
      <c r="J33" s="9" t="s">
        <v>288</v>
      </c>
      <c r="K33" s="10">
        <v>46290</v>
      </c>
      <c r="L33" s="10">
        <v>46293</v>
      </c>
      <c r="M33" s="5" t="s">
        <v>326</v>
      </c>
    </row>
    <row r="34" ht="52" customHeight="1" spans="1:13">
      <c r="A34" s="4" t="s">
        <v>19</v>
      </c>
      <c r="B34" s="5" t="s">
        <v>20</v>
      </c>
      <c r="C34" s="13" t="s">
        <v>185</v>
      </c>
      <c r="D34" s="14" t="s">
        <v>223</v>
      </c>
      <c r="E34" s="6" t="s">
        <v>287</v>
      </c>
      <c r="F34" s="14" t="s">
        <v>329</v>
      </c>
      <c r="G34" s="12" t="s">
        <v>60</v>
      </c>
      <c r="H34" s="8">
        <v>3</v>
      </c>
      <c r="I34" s="8">
        <f>H34*(1+汇总!$C$46)</f>
        <v>3.45</v>
      </c>
      <c r="J34" s="9" t="s">
        <v>288</v>
      </c>
      <c r="K34" s="10">
        <v>46325</v>
      </c>
      <c r="L34" s="10">
        <v>46329</v>
      </c>
      <c r="M34" s="5" t="s">
        <v>330</v>
      </c>
    </row>
    <row r="35" ht="26" customHeight="1" spans="1:13">
      <c r="A35" s="4" t="s">
        <v>19</v>
      </c>
      <c r="B35" s="5" t="s">
        <v>20</v>
      </c>
      <c r="C35" s="13" t="s">
        <v>185</v>
      </c>
      <c r="D35" s="14" t="s">
        <v>331</v>
      </c>
      <c r="E35" s="6" t="s">
        <v>287</v>
      </c>
      <c r="F35" s="14" t="s">
        <v>332</v>
      </c>
      <c r="G35" s="16" t="s">
        <v>64</v>
      </c>
      <c r="H35" s="8">
        <v>1.5</v>
      </c>
      <c r="I35" s="8">
        <f>H35*(1+汇总!$C$46)</f>
        <v>1.725</v>
      </c>
      <c r="J35" s="9" t="s">
        <v>288</v>
      </c>
      <c r="K35" s="10">
        <v>46337</v>
      </c>
      <c r="L35" s="10">
        <v>46338</v>
      </c>
      <c r="M35" s="5" t="s">
        <v>333</v>
      </c>
    </row>
    <row r="36" spans="1:13">
      <c r="A36" s="4" t="s">
        <v>19</v>
      </c>
      <c r="B36" s="5" t="s">
        <v>20</v>
      </c>
      <c r="C36" s="13" t="s">
        <v>185</v>
      </c>
      <c r="D36" s="14" t="s">
        <v>240</v>
      </c>
      <c r="E36" s="6" t="s">
        <v>287</v>
      </c>
      <c r="F36" s="14" t="s">
        <v>334</v>
      </c>
      <c r="G36" s="16" t="s">
        <v>64</v>
      </c>
      <c r="H36" s="8">
        <v>1.5</v>
      </c>
      <c r="I36" s="8">
        <f>H36*(1+汇总!$C$46)</f>
        <v>1.725</v>
      </c>
      <c r="J36" s="9" t="s">
        <v>288</v>
      </c>
      <c r="K36" s="10">
        <v>46339</v>
      </c>
      <c r="L36" s="10">
        <v>46342</v>
      </c>
      <c r="M36" s="5" t="s">
        <v>326</v>
      </c>
    </row>
    <row r="37" ht="26" customHeight="1" spans="1:13">
      <c r="A37" s="4" t="s">
        <v>22</v>
      </c>
      <c r="B37" s="5" t="s">
        <v>23</v>
      </c>
      <c r="C37" s="6" t="s">
        <v>224</v>
      </c>
      <c r="D37" s="5" t="s">
        <v>225</v>
      </c>
      <c r="E37" s="6" t="s">
        <v>287</v>
      </c>
      <c r="F37" s="5" t="s">
        <v>335</v>
      </c>
      <c r="G37" s="12" t="s">
        <v>60</v>
      </c>
      <c r="H37" s="8">
        <v>1.5</v>
      </c>
      <c r="I37" s="8">
        <f>H37*(1+汇总!$C$46)</f>
        <v>1.725</v>
      </c>
      <c r="J37" s="9" t="s">
        <v>288</v>
      </c>
      <c r="K37" s="10">
        <v>46317</v>
      </c>
      <c r="L37" s="10">
        <v>46318</v>
      </c>
      <c r="M37" s="5" t="s">
        <v>336</v>
      </c>
    </row>
    <row r="38" spans="1:13">
      <c r="A38" s="4" t="s">
        <v>22</v>
      </c>
      <c r="B38" s="5" t="s">
        <v>23</v>
      </c>
      <c r="C38" s="6" t="s">
        <v>226</v>
      </c>
      <c r="D38" s="5" t="s">
        <v>337</v>
      </c>
      <c r="E38" s="6" t="s">
        <v>287</v>
      </c>
      <c r="F38" s="5" t="s">
        <v>338</v>
      </c>
      <c r="G38" s="12" t="s">
        <v>60</v>
      </c>
      <c r="H38" s="8">
        <v>3</v>
      </c>
      <c r="I38" s="8">
        <f>H38*(1+汇总!$C$46)</f>
        <v>3.45</v>
      </c>
      <c r="J38" s="9" t="s">
        <v>288</v>
      </c>
      <c r="K38" s="10">
        <v>46321</v>
      </c>
      <c r="L38" s="10">
        <v>46323</v>
      </c>
      <c r="M38" s="5"/>
    </row>
    <row r="39" ht="26" customHeight="1" spans="1:13">
      <c r="A39" s="4" t="s">
        <v>22</v>
      </c>
      <c r="B39" s="5" t="s">
        <v>23</v>
      </c>
      <c r="C39" s="6" t="s">
        <v>228</v>
      </c>
      <c r="D39" s="5" t="s">
        <v>229</v>
      </c>
      <c r="E39" s="6" t="s">
        <v>287</v>
      </c>
      <c r="F39" s="5" t="s">
        <v>339</v>
      </c>
      <c r="G39" s="12" t="s">
        <v>60</v>
      </c>
      <c r="H39" s="8">
        <v>3</v>
      </c>
      <c r="I39" s="8">
        <f>H39*(1+汇总!$C$46)</f>
        <v>3.45</v>
      </c>
      <c r="J39" s="9" t="s">
        <v>288</v>
      </c>
      <c r="K39" s="10">
        <v>46307</v>
      </c>
      <c r="L39" s="10">
        <v>46310</v>
      </c>
      <c r="M39" s="5" t="s">
        <v>340</v>
      </c>
    </row>
    <row r="40" ht="26" customHeight="1" spans="1:13">
      <c r="A40" s="4" t="s">
        <v>22</v>
      </c>
      <c r="B40" s="5" t="s">
        <v>23</v>
      </c>
      <c r="C40" s="6" t="s">
        <v>230</v>
      </c>
      <c r="D40" s="5" t="s">
        <v>231</v>
      </c>
      <c r="E40" s="6" t="s">
        <v>287</v>
      </c>
      <c r="F40" s="5" t="s">
        <v>341</v>
      </c>
      <c r="G40" s="12" t="s">
        <v>60</v>
      </c>
      <c r="H40" s="8">
        <v>2</v>
      </c>
      <c r="I40" s="8">
        <f>H40*(1+汇总!$C$46)</f>
        <v>2.3</v>
      </c>
      <c r="J40" s="9" t="s">
        <v>288</v>
      </c>
      <c r="K40" s="10">
        <v>46330</v>
      </c>
      <c r="L40" s="10">
        <v>46331</v>
      </c>
      <c r="M40" s="5" t="s">
        <v>342</v>
      </c>
    </row>
    <row r="41" ht="52" customHeight="1" spans="1:13">
      <c r="A41" s="4" t="s">
        <v>22</v>
      </c>
      <c r="B41" s="5" t="s">
        <v>23</v>
      </c>
      <c r="C41" s="6" t="s">
        <v>232</v>
      </c>
      <c r="D41" s="5" t="s">
        <v>233</v>
      </c>
      <c r="E41" s="6" t="s">
        <v>287</v>
      </c>
      <c r="F41" s="5" t="s">
        <v>343</v>
      </c>
      <c r="G41" s="12" t="s">
        <v>60</v>
      </c>
      <c r="H41" s="8">
        <v>2</v>
      </c>
      <c r="I41" s="8">
        <f>H41*(1+汇总!$C$46)</f>
        <v>2.3</v>
      </c>
      <c r="J41" s="9" t="s">
        <v>288</v>
      </c>
      <c r="K41" s="10">
        <v>46324</v>
      </c>
      <c r="L41" s="10">
        <v>46325</v>
      </c>
      <c r="M41" s="5" t="s">
        <v>344</v>
      </c>
    </row>
    <row r="42" ht="52" customHeight="1" spans="1:13">
      <c r="A42" s="4" t="s">
        <v>22</v>
      </c>
      <c r="B42" s="5" t="s">
        <v>23</v>
      </c>
      <c r="C42" s="13" t="s">
        <v>185</v>
      </c>
      <c r="D42" s="14" t="s">
        <v>234</v>
      </c>
      <c r="E42" s="6" t="s">
        <v>287</v>
      </c>
      <c r="F42" s="14" t="s">
        <v>345</v>
      </c>
      <c r="G42" s="12" t="s">
        <v>60</v>
      </c>
      <c r="H42" s="8">
        <v>2</v>
      </c>
      <c r="I42" s="8">
        <f>H42*(1+汇总!$C$46)</f>
        <v>2.3</v>
      </c>
      <c r="J42" s="9" t="s">
        <v>288</v>
      </c>
      <c r="K42" s="10">
        <v>46328</v>
      </c>
      <c r="L42" s="10">
        <v>46329</v>
      </c>
      <c r="M42" s="5" t="s">
        <v>346</v>
      </c>
    </row>
    <row r="43" ht="26" customHeight="1" spans="1:13">
      <c r="A43" s="4" t="s">
        <v>25</v>
      </c>
      <c r="B43" s="5" t="s">
        <v>26</v>
      </c>
      <c r="C43" s="6" t="s">
        <v>190</v>
      </c>
      <c r="D43" s="5" t="s">
        <v>347</v>
      </c>
      <c r="E43" s="6" t="s">
        <v>287</v>
      </c>
      <c r="F43" s="5" t="s">
        <v>348</v>
      </c>
      <c r="G43" s="11" t="s">
        <v>56</v>
      </c>
      <c r="H43" s="8">
        <v>2</v>
      </c>
      <c r="I43" s="8">
        <f>H43*(1+汇总!$C$46)</f>
        <v>2.3</v>
      </c>
      <c r="J43" s="9" t="s">
        <v>288</v>
      </c>
      <c r="K43" s="10">
        <v>46276</v>
      </c>
      <c r="L43" s="10">
        <v>46279</v>
      </c>
      <c r="M43" s="5" t="s">
        <v>349</v>
      </c>
    </row>
    <row r="44" spans="1:13">
      <c r="A44" s="4" t="s">
        <v>25</v>
      </c>
      <c r="B44" s="5" t="s">
        <v>26</v>
      </c>
      <c r="C44" s="6" t="s">
        <v>192</v>
      </c>
      <c r="D44" s="5" t="s">
        <v>193</v>
      </c>
      <c r="E44" s="6" t="s">
        <v>287</v>
      </c>
      <c r="F44" s="5" t="s">
        <v>350</v>
      </c>
      <c r="G44" s="11" t="s">
        <v>56</v>
      </c>
      <c r="H44" s="8">
        <v>1</v>
      </c>
      <c r="I44" s="8">
        <f>H44*(1+汇总!$C$46)</f>
        <v>1.15</v>
      </c>
      <c r="J44" s="9" t="s">
        <v>288</v>
      </c>
      <c r="K44" s="10">
        <v>46281</v>
      </c>
      <c r="L44" s="10">
        <v>46281</v>
      </c>
      <c r="M44" s="5"/>
    </row>
    <row r="45" ht="52" customHeight="1" spans="1:13">
      <c r="A45" s="4" t="s">
        <v>25</v>
      </c>
      <c r="B45" s="5" t="s">
        <v>26</v>
      </c>
      <c r="C45" s="6" t="s">
        <v>241</v>
      </c>
      <c r="D45" s="5" t="s">
        <v>242</v>
      </c>
      <c r="E45" s="6" t="s">
        <v>287</v>
      </c>
      <c r="F45" s="5" t="s">
        <v>351</v>
      </c>
      <c r="G45" s="16" t="s">
        <v>64</v>
      </c>
      <c r="H45" s="8">
        <v>4</v>
      </c>
      <c r="I45" s="8">
        <f>H45*(1+汇总!$C$46)</f>
        <v>4.6</v>
      </c>
      <c r="J45" s="9" t="s">
        <v>288</v>
      </c>
      <c r="K45" s="10">
        <v>46337</v>
      </c>
      <c r="L45" s="10">
        <v>46343</v>
      </c>
      <c r="M45" s="5" t="s">
        <v>352</v>
      </c>
    </row>
    <row r="46" ht="39" customHeight="1" spans="1:13">
      <c r="A46" s="4" t="s">
        <v>25</v>
      </c>
      <c r="B46" s="5" t="s">
        <v>26</v>
      </c>
      <c r="C46" s="6" t="s">
        <v>243</v>
      </c>
      <c r="D46" s="5" t="s">
        <v>244</v>
      </c>
      <c r="E46" s="6" t="s">
        <v>287</v>
      </c>
      <c r="F46" s="5" t="s">
        <v>353</v>
      </c>
      <c r="G46" s="16" t="s">
        <v>64</v>
      </c>
      <c r="H46" s="8">
        <v>2</v>
      </c>
      <c r="I46" s="8">
        <f>H46*(1+汇总!$C$46)</f>
        <v>2.3</v>
      </c>
      <c r="J46" s="9" t="s">
        <v>288</v>
      </c>
      <c r="K46" s="10">
        <v>46335</v>
      </c>
      <c r="L46" s="10">
        <v>46336</v>
      </c>
      <c r="M46" s="5" t="s">
        <v>354</v>
      </c>
    </row>
    <row r="47" spans="1:13">
      <c r="A47" s="4" t="s">
        <v>28</v>
      </c>
      <c r="B47" s="5" t="s">
        <v>29</v>
      </c>
      <c r="C47" s="6" t="s">
        <v>194</v>
      </c>
      <c r="D47" s="5" t="s">
        <v>195</v>
      </c>
      <c r="E47" s="6" t="s">
        <v>287</v>
      </c>
      <c r="F47" s="5" t="s">
        <v>355</v>
      </c>
      <c r="G47" s="11" t="s">
        <v>56</v>
      </c>
      <c r="H47" s="8">
        <v>2.5</v>
      </c>
      <c r="I47" s="8">
        <f>H47*(1+汇总!$C$46)</f>
        <v>2.875</v>
      </c>
      <c r="J47" s="9" t="s">
        <v>288</v>
      </c>
      <c r="K47" s="10">
        <v>46282</v>
      </c>
      <c r="L47" s="10">
        <v>46286</v>
      </c>
      <c r="M47" s="5"/>
    </row>
    <row r="48" ht="26" customHeight="1" spans="1:13">
      <c r="A48" s="4" t="s">
        <v>28</v>
      </c>
      <c r="B48" s="5" t="s">
        <v>29</v>
      </c>
      <c r="C48" s="6" t="s">
        <v>245</v>
      </c>
      <c r="D48" s="5" t="s">
        <v>246</v>
      </c>
      <c r="E48" s="6" t="s">
        <v>287</v>
      </c>
      <c r="F48" s="5" t="s">
        <v>356</v>
      </c>
      <c r="G48" s="16" t="s">
        <v>64</v>
      </c>
      <c r="H48" s="8">
        <v>1.5</v>
      </c>
      <c r="I48" s="8">
        <f>H48*(1+汇总!$C$46)</f>
        <v>1.725</v>
      </c>
      <c r="J48" s="9" t="s">
        <v>288</v>
      </c>
      <c r="K48" s="10">
        <v>46337</v>
      </c>
      <c r="L48" s="10">
        <v>46338</v>
      </c>
      <c r="M48" s="5" t="s">
        <v>357</v>
      </c>
    </row>
    <row r="49" spans="1:13">
      <c r="A49" s="4" t="s">
        <v>28</v>
      </c>
      <c r="B49" s="5" t="s">
        <v>29</v>
      </c>
      <c r="C49" s="6" t="s">
        <v>196</v>
      </c>
      <c r="D49" s="5" t="s">
        <v>197</v>
      </c>
      <c r="E49" s="6" t="s">
        <v>287</v>
      </c>
      <c r="F49" s="5" t="s">
        <v>358</v>
      </c>
      <c r="G49" s="11" t="s">
        <v>56</v>
      </c>
      <c r="H49" s="8">
        <v>1.5</v>
      </c>
      <c r="I49" s="8">
        <f>H49*(1+汇总!$C$46)</f>
        <v>1.725</v>
      </c>
      <c r="J49" s="9" t="s">
        <v>288</v>
      </c>
      <c r="K49" s="10">
        <v>46287</v>
      </c>
      <c r="L49" s="10">
        <v>46288</v>
      </c>
      <c r="M49" s="5"/>
    </row>
    <row r="50" ht="26" customHeight="1" spans="1:13">
      <c r="A50" s="4" t="s">
        <v>28</v>
      </c>
      <c r="B50" s="5" t="s">
        <v>29</v>
      </c>
      <c r="C50" s="6" t="s">
        <v>247</v>
      </c>
      <c r="D50" s="15" t="s">
        <v>359</v>
      </c>
      <c r="E50" s="6" t="s">
        <v>287</v>
      </c>
      <c r="F50" s="5" t="s">
        <v>360</v>
      </c>
      <c r="G50" s="16" t="s">
        <v>64</v>
      </c>
      <c r="H50" s="8">
        <v>4</v>
      </c>
      <c r="I50" s="8">
        <f>H50*(1+汇总!$C$46)</f>
        <v>4.6</v>
      </c>
      <c r="J50" s="9" t="s">
        <v>288</v>
      </c>
      <c r="K50" s="10">
        <v>46343</v>
      </c>
      <c r="L50" s="10">
        <v>46349</v>
      </c>
      <c r="M50" s="5" t="s">
        <v>361</v>
      </c>
    </row>
    <row r="51" ht="39" customHeight="1" spans="1:13">
      <c r="A51" s="4" t="s">
        <v>28</v>
      </c>
      <c r="B51" s="5" t="s">
        <v>29</v>
      </c>
      <c r="C51" s="6" t="s">
        <v>249</v>
      </c>
      <c r="D51" s="5" t="s">
        <v>250</v>
      </c>
      <c r="E51" s="6" t="s">
        <v>287</v>
      </c>
      <c r="F51" s="5" t="s">
        <v>362</v>
      </c>
      <c r="G51" s="16" t="s">
        <v>64</v>
      </c>
      <c r="H51" s="8">
        <v>2.5</v>
      </c>
      <c r="I51" s="8">
        <f>H51*(1+汇总!$C$46)</f>
        <v>2.875</v>
      </c>
      <c r="J51" s="9" t="s">
        <v>288</v>
      </c>
      <c r="K51" s="10">
        <v>46343</v>
      </c>
      <c r="L51" s="10">
        <v>46345</v>
      </c>
      <c r="M51" s="5" t="s">
        <v>363</v>
      </c>
    </row>
    <row r="52" ht="26" customHeight="1" spans="1:13">
      <c r="A52" s="4" t="s">
        <v>28</v>
      </c>
      <c r="B52" s="5" t="s">
        <v>29</v>
      </c>
      <c r="C52" s="6" t="s">
        <v>235</v>
      </c>
      <c r="D52" s="15" t="s">
        <v>364</v>
      </c>
      <c r="E52" s="6" t="s">
        <v>287</v>
      </c>
      <c r="F52" s="5" t="s">
        <v>365</v>
      </c>
      <c r="G52" s="12" t="s">
        <v>60</v>
      </c>
      <c r="H52" s="8">
        <v>2</v>
      </c>
      <c r="I52" s="8">
        <f>H52*(1+汇总!$C$46)</f>
        <v>2.3</v>
      </c>
      <c r="J52" s="9" t="s">
        <v>288</v>
      </c>
      <c r="K52" s="10">
        <v>46282</v>
      </c>
      <c r="L52" s="10">
        <v>46287</v>
      </c>
      <c r="M52" s="5" t="s">
        <v>366</v>
      </c>
    </row>
    <row r="53" ht="26" customHeight="1" spans="1:13">
      <c r="A53" s="4" t="s">
        <v>28</v>
      </c>
      <c r="B53" s="5" t="s">
        <v>29</v>
      </c>
      <c r="C53" s="6" t="s">
        <v>237</v>
      </c>
      <c r="D53" s="15" t="s">
        <v>238</v>
      </c>
      <c r="E53" s="6" t="s">
        <v>287</v>
      </c>
      <c r="F53" s="5" t="s">
        <v>367</v>
      </c>
      <c r="G53" s="12" t="s">
        <v>60</v>
      </c>
      <c r="H53" s="8">
        <v>1.5</v>
      </c>
      <c r="I53" s="8">
        <f>H53*(1+汇总!$C$46)</f>
        <v>1.725</v>
      </c>
      <c r="J53" s="9" t="s">
        <v>288</v>
      </c>
      <c r="K53" s="10">
        <v>46288</v>
      </c>
      <c r="L53" s="10">
        <v>46289</v>
      </c>
      <c r="M53" s="5" t="s">
        <v>368</v>
      </c>
    </row>
    <row r="54" ht="26" customHeight="1" spans="1:13">
      <c r="A54" s="4" t="s">
        <v>31</v>
      </c>
      <c r="B54" s="5" t="s">
        <v>32</v>
      </c>
      <c r="C54" s="6" t="s">
        <v>198</v>
      </c>
      <c r="D54" s="5" t="s">
        <v>369</v>
      </c>
      <c r="E54" s="6" t="s">
        <v>287</v>
      </c>
      <c r="F54" s="5" t="s">
        <v>370</v>
      </c>
      <c r="G54" s="11" t="s">
        <v>56</v>
      </c>
      <c r="H54" s="8">
        <v>1</v>
      </c>
      <c r="I54" s="8">
        <f>H54*(1+汇总!$C$46)</f>
        <v>1.15</v>
      </c>
      <c r="J54" s="9" t="s">
        <v>288</v>
      </c>
      <c r="K54" s="10">
        <v>46289</v>
      </c>
      <c r="L54" s="10">
        <v>46289</v>
      </c>
      <c r="M54" s="5"/>
    </row>
    <row r="55" spans="1:13">
      <c r="A55" s="4" t="s">
        <v>31</v>
      </c>
      <c r="B55" s="5" t="s">
        <v>32</v>
      </c>
      <c r="C55" s="6" t="s">
        <v>251</v>
      </c>
      <c r="D55" s="5" t="s">
        <v>252</v>
      </c>
      <c r="E55" s="6" t="s">
        <v>287</v>
      </c>
      <c r="F55" s="5" t="s">
        <v>371</v>
      </c>
      <c r="G55" s="16" t="s">
        <v>64</v>
      </c>
      <c r="H55" s="8">
        <v>0.5</v>
      </c>
      <c r="I55" s="8">
        <f>H55*(1+汇总!$C$46)</f>
        <v>0.575</v>
      </c>
      <c r="J55" s="9" t="s">
        <v>288</v>
      </c>
      <c r="K55" s="10">
        <v>46339</v>
      </c>
      <c r="L55" s="10">
        <v>46339</v>
      </c>
      <c r="M55" s="5"/>
    </row>
    <row r="56" spans="1:13">
      <c r="A56" s="4" t="s">
        <v>31</v>
      </c>
      <c r="B56" s="5" t="s">
        <v>32</v>
      </c>
      <c r="C56" s="6" t="s">
        <v>253</v>
      </c>
      <c r="D56" s="5" t="s">
        <v>254</v>
      </c>
      <c r="E56" s="6" t="s">
        <v>287</v>
      </c>
      <c r="F56" s="5" t="s">
        <v>372</v>
      </c>
      <c r="G56" s="16" t="s">
        <v>64</v>
      </c>
      <c r="H56" s="8">
        <v>0.5</v>
      </c>
      <c r="I56" s="8">
        <f>H56*(1+汇总!$C$46)</f>
        <v>0.575</v>
      </c>
      <c r="J56" s="9" t="s">
        <v>288</v>
      </c>
      <c r="K56" s="10">
        <v>46342</v>
      </c>
      <c r="L56" s="10">
        <v>46342</v>
      </c>
      <c r="M56" s="5"/>
    </row>
    <row r="57" ht="52" customHeight="1" spans="1:13">
      <c r="A57" s="4" t="s">
        <v>33</v>
      </c>
      <c r="B57" s="5" t="s">
        <v>34</v>
      </c>
      <c r="C57" s="6" t="s">
        <v>200</v>
      </c>
      <c r="D57" s="5" t="s">
        <v>373</v>
      </c>
      <c r="E57" s="6" t="s">
        <v>287</v>
      </c>
      <c r="F57" s="5" t="s">
        <v>374</v>
      </c>
      <c r="G57" s="11" t="s">
        <v>56</v>
      </c>
      <c r="H57" s="8">
        <v>2</v>
      </c>
      <c r="I57" s="8">
        <f>H57*(1+汇总!$C$46)</f>
        <v>2.3</v>
      </c>
      <c r="J57" s="9" t="s">
        <v>288</v>
      </c>
      <c r="K57" s="10">
        <v>46286</v>
      </c>
      <c r="L57" s="10">
        <v>46287</v>
      </c>
      <c r="M57" s="5" t="s">
        <v>375</v>
      </c>
    </row>
    <row r="58" spans="1:13">
      <c r="A58" s="4" t="s">
        <v>33</v>
      </c>
      <c r="B58" s="5" t="s">
        <v>34</v>
      </c>
      <c r="C58" s="6" t="s">
        <v>202</v>
      </c>
      <c r="D58" s="5" t="s">
        <v>376</v>
      </c>
      <c r="E58" s="6" t="s">
        <v>287</v>
      </c>
      <c r="F58" s="5" t="s">
        <v>377</v>
      </c>
      <c r="G58" s="11" t="s">
        <v>56</v>
      </c>
      <c r="H58" s="8">
        <v>1</v>
      </c>
      <c r="I58" s="8">
        <f>H58*(1+汇总!$C$46)</f>
        <v>1.15</v>
      </c>
      <c r="J58" s="9" t="s">
        <v>288</v>
      </c>
      <c r="K58" s="10">
        <v>46288</v>
      </c>
      <c r="L58" s="10">
        <v>46288</v>
      </c>
      <c r="M58" s="5"/>
    </row>
    <row r="59" ht="39" customHeight="1" spans="1:13">
      <c r="A59" s="4" t="s">
        <v>33</v>
      </c>
      <c r="B59" s="5" t="s">
        <v>34</v>
      </c>
      <c r="C59" s="6" t="s">
        <v>204</v>
      </c>
      <c r="D59" s="5" t="s">
        <v>205</v>
      </c>
      <c r="E59" s="6" t="s">
        <v>287</v>
      </c>
      <c r="F59" s="5" t="s">
        <v>378</v>
      </c>
      <c r="G59" s="11" t="s">
        <v>56</v>
      </c>
      <c r="H59" s="8">
        <v>1.5</v>
      </c>
      <c r="I59" s="8">
        <f>H59*(1+汇总!$C$46)</f>
        <v>1.725</v>
      </c>
      <c r="J59" s="9" t="s">
        <v>288</v>
      </c>
      <c r="K59" s="10">
        <v>46289</v>
      </c>
      <c r="L59" s="10">
        <v>46290</v>
      </c>
      <c r="M59" s="5" t="s">
        <v>379</v>
      </c>
    </row>
    <row r="60" ht="26" customHeight="1" spans="1:13">
      <c r="A60" s="4" t="s">
        <v>33</v>
      </c>
      <c r="B60" s="5" t="s">
        <v>34</v>
      </c>
      <c r="C60" s="6" t="s">
        <v>206</v>
      </c>
      <c r="D60" s="5" t="s">
        <v>207</v>
      </c>
      <c r="E60" s="6" t="s">
        <v>287</v>
      </c>
      <c r="F60" s="5" t="s">
        <v>380</v>
      </c>
      <c r="G60" s="11" t="s">
        <v>56</v>
      </c>
      <c r="H60" s="8">
        <v>1.5</v>
      </c>
      <c r="I60" s="8">
        <f>H60*(1+汇总!$C$46)</f>
        <v>1.725</v>
      </c>
      <c r="J60" s="9" t="s">
        <v>288</v>
      </c>
      <c r="K60" s="10">
        <v>46293</v>
      </c>
      <c r="L60" s="10">
        <v>46294</v>
      </c>
      <c r="M60" s="5" t="s">
        <v>381</v>
      </c>
    </row>
    <row r="61" ht="52" customHeight="1" spans="1:13">
      <c r="A61" s="4" t="s">
        <v>33</v>
      </c>
      <c r="B61" s="5" t="s">
        <v>34</v>
      </c>
      <c r="C61" s="13" t="s">
        <v>185</v>
      </c>
      <c r="D61" s="14" t="s">
        <v>382</v>
      </c>
      <c r="E61" s="6" t="s">
        <v>287</v>
      </c>
      <c r="F61" s="14" t="s">
        <v>383</v>
      </c>
      <c r="G61" s="16" t="s">
        <v>64</v>
      </c>
      <c r="H61" s="8">
        <v>2</v>
      </c>
      <c r="I61" s="8">
        <f>H61*(1+汇总!$C$46)</f>
        <v>2.3</v>
      </c>
      <c r="J61" s="9" t="s">
        <v>288</v>
      </c>
      <c r="K61" s="10">
        <v>46332</v>
      </c>
      <c r="L61" s="10">
        <v>46336</v>
      </c>
      <c r="M61" s="5" t="s">
        <v>384</v>
      </c>
    </row>
    <row r="62" ht="39" customHeight="1" spans="1:13">
      <c r="A62" s="4" t="s">
        <v>36</v>
      </c>
      <c r="B62" s="5" t="s">
        <v>37</v>
      </c>
      <c r="C62" s="6" t="s">
        <v>75</v>
      </c>
      <c r="D62" s="5" t="s">
        <v>256</v>
      </c>
      <c r="E62" s="6" t="s">
        <v>37</v>
      </c>
      <c r="F62" s="5" t="s">
        <v>385</v>
      </c>
      <c r="G62" s="7" t="s">
        <v>72</v>
      </c>
      <c r="H62" s="8">
        <v>10</v>
      </c>
      <c r="I62" s="8">
        <f>H62*(1+汇总!$C$46)</f>
        <v>11.5</v>
      </c>
      <c r="J62" s="9" t="s">
        <v>288</v>
      </c>
      <c r="K62" s="10">
        <v>46303</v>
      </c>
      <c r="L62" s="10">
        <v>46360</v>
      </c>
      <c r="M62" s="5" t="s">
        <v>386</v>
      </c>
    </row>
    <row r="63" spans="1:13">
      <c r="A63" s="4" t="s">
        <v>36</v>
      </c>
      <c r="B63" s="5" t="s">
        <v>37</v>
      </c>
      <c r="C63" s="6" t="s">
        <v>75</v>
      </c>
      <c r="D63" s="5" t="s">
        <v>257</v>
      </c>
      <c r="E63" s="6" t="s">
        <v>37</v>
      </c>
      <c r="F63" s="5" t="s">
        <v>75</v>
      </c>
      <c r="G63" s="7" t="s">
        <v>72</v>
      </c>
      <c r="H63" s="8">
        <v>7</v>
      </c>
      <c r="I63" s="8">
        <f>H63*(1+汇总!$C$46)</f>
        <v>8.05</v>
      </c>
      <c r="J63" s="9" t="s">
        <v>288</v>
      </c>
      <c r="K63" s="10">
        <v>46309</v>
      </c>
      <c r="L63" s="10">
        <v>46360</v>
      </c>
      <c r="M63" s="5"/>
    </row>
    <row r="64" ht="26" customHeight="1" spans="1:13">
      <c r="A64" s="4" t="s">
        <v>39</v>
      </c>
      <c r="B64" s="5" t="s">
        <v>40</v>
      </c>
      <c r="C64" s="6" t="s">
        <v>75</v>
      </c>
      <c r="D64" s="5" t="s">
        <v>258</v>
      </c>
      <c r="E64" s="6" t="s">
        <v>387</v>
      </c>
      <c r="F64" s="5" t="s">
        <v>75</v>
      </c>
      <c r="G64" s="7" t="s">
        <v>72</v>
      </c>
      <c r="H64" s="8">
        <v>4</v>
      </c>
      <c r="I64" s="8">
        <f>H64*(1+汇总!$C$46)</f>
        <v>4.6</v>
      </c>
      <c r="J64" s="9" t="s">
        <v>288</v>
      </c>
      <c r="K64" s="10">
        <v>46303</v>
      </c>
      <c r="L64" s="10">
        <v>46358</v>
      </c>
      <c r="M64" s="5" t="s">
        <v>388</v>
      </c>
    </row>
    <row r="65" ht="26" customHeight="1" spans="1:13">
      <c r="A65" s="4" t="s">
        <v>39</v>
      </c>
      <c r="B65" s="5" t="s">
        <v>40</v>
      </c>
      <c r="C65" s="6" t="s">
        <v>75</v>
      </c>
      <c r="D65" s="5" t="s">
        <v>259</v>
      </c>
      <c r="E65" s="6" t="s">
        <v>387</v>
      </c>
      <c r="F65" s="5" t="s">
        <v>75</v>
      </c>
      <c r="G65" s="7" t="s">
        <v>72</v>
      </c>
      <c r="H65" s="8">
        <v>6</v>
      </c>
      <c r="I65" s="8">
        <f>H65*(1+汇总!$C$46)</f>
        <v>6.9</v>
      </c>
      <c r="J65" s="9" t="s">
        <v>288</v>
      </c>
      <c r="K65" s="10">
        <v>46308</v>
      </c>
      <c r="L65" s="10">
        <v>46359</v>
      </c>
      <c r="M65" s="5" t="s">
        <v>389</v>
      </c>
    </row>
    <row r="66" spans="1:13">
      <c r="A66" s="4" t="s">
        <v>39</v>
      </c>
      <c r="B66" s="5" t="s">
        <v>40</v>
      </c>
      <c r="C66" s="6" t="s">
        <v>75</v>
      </c>
      <c r="D66" s="5" t="s">
        <v>260</v>
      </c>
      <c r="E66" s="6" t="s">
        <v>387</v>
      </c>
      <c r="F66" s="5" t="s">
        <v>75</v>
      </c>
      <c r="G66" s="7" t="s">
        <v>72</v>
      </c>
      <c r="H66" s="8">
        <v>3</v>
      </c>
      <c r="I66" s="8">
        <f>H66*(1+汇总!$C$46)</f>
        <v>3.45</v>
      </c>
      <c r="J66" s="9" t="s">
        <v>288</v>
      </c>
      <c r="K66" s="10">
        <v>46310</v>
      </c>
      <c r="L66" s="10">
        <v>46360</v>
      </c>
      <c r="M66" s="5"/>
    </row>
    <row r="67" ht="26" customHeight="1" spans="1:13">
      <c r="A67" s="4" t="s">
        <v>42</v>
      </c>
      <c r="B67" s="5" t="s">
        <v>43</v>
      </c>
      <c r="C67" s="6" t="s">
        <v>75</v>
      </c>
      <c r="D67" s="5" t="s">
        <v>261</v>
      </c>
      <c r="E67" s="6" t="s">
        <v>390</v>
      </c>
      <c r="F67" s="5" t="s">
        <v>75</v>
      </c>
      <c r="G67" s="7" t="s">
        <v>72</v>
      </c>
      <c r="H67" s="8">
        <v>3</v>
      </c>
      <c r="I67" s="8">
        <f>H67*(1+汇总!$C$46)</f>
        <v>3.45</v>
      </c>
      <c r="J67" s="9" t="s">
        <v>288</v>
      </c>
      <c r="K67" s="10">
        <v>46308</v>
      </c>
      <c r="L67" s="10">
        <v>46360</v>
      </c>
      <c r="M67" s="5" t="s">
        <v>391</v>
      </c>
    </row>
    <row r="68" spans="1:13">
      <c r="A68" s="4" t="s">
        <v>42</v>
      </c>
      <c r="B68" s="5" t="s">
        <v>43</v>
      </c>
      <c r="C68" s="6" t="s">
        <v>75</v>
      </c>
      <c r="D68" s="5" t="s">
        <v>262</v>
      </c>
      <c r="E68" s="6" t="s">
        <v>390</v>
      </c>
      <c r="F68" s="5" t="s">
        <v>75</v>
      </c>
      <c r="G68" s="7" t="s">
        <v>72</v>
      </c>
      <c r="H68" s="8">
        <v>5</v>
      </c>
      <c r="I68" s="8">
        <f>H68*(1+汇总!$C$46)</f>
        <v>5.75</v>
      </c>
      <c r="J68" s="9" t="s">
        <v>288</v>
      </c>
      <c r="K68" s="10">
        <v>46310</v>
      </c>
      <c r="L68" s="10">
        <v>46363</v>
      </c>
      <c r="M68" s="5"/>
    </row>
    <row r="69" ht="26" customHeight="1" spans="1:13">
      <c r="A69" s="4" t="s">
        <v>42</v>
      </c>
      <c r="B69" s="5" t="s">
        <v>43</v>
      </c>
      <c r="C69" s="6" t="s">
        <v>75</v>
      </c>
      <c r="D69" s="5" t="s">
        <v>392</v>
      </c>
      <c r="E69" s="6" t="s">
        <v>37</v>
      </c>
      <c r="F69" s="5" t="s">
        <v>75</v>
      </c>
      <c r="G69" s="7" t="s">
        <v>72</v>
      </c>
      <c r="H69" s="8">
        <v>7</v>
      </c>
      <c r="I69" s="8">
        <f>H69*(1+汇总!$C$46)</f>
        <v>8.05</v>
      </c>
      <c r="J69" s="9" t="s">
        <v>288</v>
      </c>
      <c r="K69" s="10">
        <v>46311</v>
      </c>
      <c r="L69" s="10">
        <v>46374</v>
      </c>
      <c r="M69" s="5" t="s">
        <v>393</v>
      </c>
    </row>
    <row r="70" ht="15.5" customHeight="1" spans="1:13">
      <c r="A70" s="17"/>
      <c r="B70" s="17"/>
      <c r="C70" s="17"/>
      <c r="D70" s="18" t="s">
        <v>394</v>
      </c>
      <c r="E70" s="17"/>
      <c r="F70" s="17"/>
      <c r="G70" s="17"/>
      <c r="H70" s="19">
        <f>SUM(H4:H69)</f>
        <v>149</v>
      </c>
      <c r="I70" s="19">
        <f>SUM(I4:I69)</f>
        <v>171.35</v>
      </c>
      <c r="J70" s="17"/>
      <c r="K70" s="17"/>
      <c r="L70" s="17"/>
      <c r="M70" s="17"/>
    </row>
    <row r="72" ht="14.5" customHeight="1" spans="1:13">
      <c r="A72" s="20" t="s">
        <v>395</v>
      </c>
    </row>
    <row r="73" spans="1:13">
      <c r="A73" s="21"/>
      <c r="B73" s="22" t="s">
        <v>396</v>
      </c>
    </row>
    <row r="74" spans="1:13">
      <c r="A74" s="23"/>
      <c r="B74" s="22" t="s">
        <v>397</v>
      </c>
    </row>
    <row r="75" spans="1:13">
      <c r="A75" s="24"/>
      <c r="B75" s="22" t="s">
        <v>398</v>
      </c>
    </row>
    <row r="76" spans="1:13">
      <c r="A76" s="25"/>
      <c r="B76" s="22" t="s">
        <v>399</v>
      </c>
    </row>
    <row r="77" spans="1:13">
      <c r="A77" s="26"/>
      <c r="B77" s="22" t="s">
        <v>400</v>
      </c>
    </row>
    <row r="78" spans="1:13">
      <c r="A78" s="27"/>
      <c r="B78" s="22" t="s">
        <v>401</v>
      </c>
    </row>
    <row r="79" spans="1:13">
      <c r="A79" s="28"/>
      <c r="B79" s="22" t="s">
        <v>402</v>
      </c>
    </row>
    <row r="80" spans="1:13">
      <c r="A80" s="29"/>
      <c r="B80" s="22" t="s">
        <v>403</v>
      </c>
    </row>
    <row r="81" spans="1:2">
      <c r="A81" s="30"/>
      <c r="B81" s="22" t="s">
        <v>404</v>
      </c>
    </row>
  </sheetData>
  <autoFilter xmlns:etc="http://www.wps.cn/officeDocument/2017/etCustomData" ref="A3:M7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版本交付阶梯图</vt:lpstr>
      <vt:lpstr>汇总</vt:lpstr>
      <vt:lpstr>甘特图-功能点级</vt:lpstr>
      <vt:lpstr>甘特图-任务级</vt:lpstr>
      <vt:lpstr>功能点评估（全栈）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yellow</cp:lastModifiedBy>
  <dcterms:created xsi:type="dcterms:W3CDTF">2026-09-05T11:38:00Z</dcterms:created>
  <dcterms:modified xsi:type="dcterms:W3CDTF">2026-09-07T03:37:08Z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C0D38E0338EA427A8420CA1CA695A8D2_13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