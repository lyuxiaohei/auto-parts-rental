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工作台-吕道远\5-【ACTIVE】汽车物流包装租赁\"/>
    </mc:Choice>
  </mc:AlternateContent>
  <xr:revisionPtr revIDLastSave="0" documentId="13_ncr:1_{E7FA18DE-7E49-4D13-87A6-6C661BE992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汇总" sheetId="1" r:id="rId1"/>
    <sheet name="功能点评估（全栈）" sheetId="2" r:id="rId2"/>
  </sheets>
  <definedNames>
    <definedName name="_xlnm._FilterDatabase" localSheetId="1" hidden="1">'功能点评估（全栈）'!$A$3:$K$69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2" l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18" i="1" l="1"/>
  <c r="D18" i="1"/>
  <c r="C18" i="1"/>
  <c r="C24" i="1" s="1"/>
  <c r="C25" i="1" s="1"/>
  <c r="C26" i="1" l="1"/>
</calcChain>
</file>

<file path=xl/sharedStrings.xml><?xml version="1.0" encoding="utf-8"?>
<sst xmlns="http://schemas.openxmlformats.org/spreadsheetml/2006/main" count="509" uniqueCount="275">
  <si>
    <t>汇总与折算（公式驱动，唯一维护处）</t>
  </si>
  <si>
    <t>WBS</t>
  </si>
  <si>
    <t>模块/阶段</t>
  </si>
  <si>
    <t>人日小计</t>
  </si>
  <si>
    <t>开始日期</t>
  </si>
  <si>
    <t>结束日期</t>
  </si>
  <si>
    <t>关键风险/依赖</t>
  </si>
  <si>
    <t>A1</t>
  </si>
  <si>
    <t>需求调研与PRD</t>
  </si>
  <si>
    <t>#2 #3 材料未齐即启动，PRD 有返工风险</t>
  </si>
  <si>
    <t>A2</t>
  </si>
  <si>
    <t>原型设计</t>
  </si>
  <si>
    <t>v2.8 已交付，仅评修订量</t>
  </si>
  <si>
    <t>B0</t>
  </si>
  <si>
    <t>公共技术底座</t>
  </si>
  <si>
    <t>B1</t>
  </si>
  <si>
    <t>基础数据</t>
  </si>
  <si>
    <t>B2</t>
  </si>
  <si>
    <t>项目管理中心</t>
  </si>
  <si>
    <t>B3</t>
  </si>
  <si>
    <t>仓储作业 ★核心</t>
  </si>
  <si>
    <t>13 类单据；组装/拆卸为全新逻辑，PRD 冻结前估算偏差大</t>
  </si>
  <si>
    <t>B4</t>
  </si>
  <si>
    <t>包装管理（租赁）</t>
  </si>
  <si>
    <t>#1 计费规则未确认（US-14 暂不在基线）</t>
  </si>
  <si>
    <t>B5</t>
  </si>
  <si>
    <t>订单管理</t>
  </si>
  <si>
    <t>#6 路凯对接方式待定</t>
  </si>
  <si>
    <t>B6</t>
  </si>
  <si>
    <t>财务协同</t>
  </si>
  <si>
    <t>#5 单据/水单样例、#8 开票主体待提供</t>
  </si>
  <si>
    <t>B7</t>
  </si>
  <si>
    <t>系统管理</t>
  </si>
  <si>
    <t>B8</t>
  </si>
  <si>
    <t>采购管理</t>
  </si>
  <si>
    <t>第 2 次会新增模块（09-04 拍板第一期闭环）</t>
  </si>
  <si>
    <t>C1</t>
  </si>
  <si>
    <t>测试</t>
  </si>
  <si>
    <t>用例需覆盖 F01 五条主线全链路</t>
  </si>
  <si>
    <t>C2</t>
  </si>
  <si>
    <t>数据迁移</t>
  </si>
  <si>
    <t>#4 主数据清单与格式待提供</t>
  </si>
  <si>
    <t>C3</t>
  </si>
  <si>
    <t>上线部署</t>
  </si>
  <si>
    <t>试运行窗口待与客户确认</t>
  </si>
  <si>
    <t>合计 / 全跨度</t>
  </si>
  <si>
    <t>参数与折算</t>
  </si>
  <si>
    <t>缓冲比例</t>
  </si>
  <si>
    <t>黄格待填：建议 15%~20%，覆盖联调与管理裕度</t>
  </si>
  <si>
    <t>投入人数</t>
  </si>
  <si>
    <t>黄格待填：对应 P1-R01 第八节 #9</t>
  </si>
  <si>
    <t>每月工作日</t>
  </si>
  <si>
    <t>人月折算基准</t>
  </si>
  <si>
    <t>含缓冲合计（人日）</t>
  </si>
  <si>
    <t>自动：合计×(1+缓冲)</t>
  </si>
  <si>
    <t>日历工期（月）</t>
  </si>
  <si>
    <t>自动：含缓冲÷(每月工作日×人数)</t>
  </si>
  <si>
    <t>日历工期（周）</t>
  </si>
  <si>
    <t>自动</t>
  </si>
  <si>
    <t>P1-R03 工期评估表 · 功能点级（全栈口径）</t>
  </si>
  <si>
    <t>口径：人日含概要设计+编码+自测；每功能点一行、不分前后端（类型=全栈）。本表 2026-09-05 按 P1-R01 §5.1（39 FP）+ 原型 v2.8（45 页/79 弹窗）+ F01 v2.8 重制：任务行挂「对应原型页面」列；标（待补）的 10 行为原型已有但 §5.1 未编 FP 码的页面，评估按页面实际范围、编码后续补。人日/评估人/开始/结束全部留白，由道远与开发逐行填写；上一版估算与排期已归档于 99-归档/P1-R03-工期评估表-20260905.xlsx。</t>
  </si>
  <si>
    <t>功能点</t>
  </si>
  <si>
    <t>任务</t>
  </si>
  <si>
    <t>类型</t>
  </si>
  <si>
    <t>对应原型页面</t>
  </si>
  <si>
    <t>人日</t>
  </si>
  <si>
    <t>评估人</t>
  </si>
  <si>
    <t>开始时间</t>
  </si>
  <si>
    <t>结束时间</t>
  </si>
  <si>
    <t>备注（风险/依赖）</t>
  </si>
  <si>
    <t>—</t>
  </si>
  <si>
    <t>原型页面走查与字段确认（45 页逐页过、与吉客云/路凯现状对照）</t>
  </si>
  <si>
    <t>调研</t>
  </si>
  <si>
    <t>45 页全量</t>
  </si>
  <si>
    <t>依赖 #2 #3：账号或全套截图；走查结论直接落到 PRD</t>
  </si>
  <si>
    <t>计费规则与单据流程确认（含四态计费口径）</t>
  </si>
  <si>
    <t>依赖 #1 #5：合同/报价单、单据样例</t>
  </si>
  <si>
    <t>PRD 编写（按模块分册，以原型页面为底稿）</t>
  </si>
  <si>
    <t>文档</t>
  </si>
  <si>
    <t>PRD 评审与范围冻结</t>
  </si>
  <si>
    <t>客户确认后冻结范围，原型同步定稿</t>
  </si>
  <si>
    <t>原型按评审反馈修订</t>
  </si>
  <si>
    <t>原型</t>
  </si>
  <si>
    <t>涉及页视反馈</t>
  </si>
  <si>
    <t>v2.8 已交付（45 页 + 79 弹窗 + F01 导航图），仅评修订量，勿按全量重估</t>
  </si>
  <si>
    <t>原型评审确认与定稿</t>
  </si>
  <si>
    <t>45 页全量 + F01</t>
  </si>
  <si>
    <t>与 PRD 冻结同节点收口</t>
  </si>
  <si>
    <t>工程脚手架与 CI/CD</t>
  </si>
  <si>
    <t>全栈</t>
  </si>
  <si>
    <t>本表新增项，非 P1-R01 功能点，评估时确认保留</t>
  </si>
  <si>
    <t>登录认证与框架权限</t>
  </si>
  <si>
    <t>原型未含登录页，按通用方案实现</t>
  </si>
  <si>
    <t>通用组件（单据/列表/导入导出/弹窗/四段式详情）</t>
  </si>
  <si>
    <t>全站</t>
  </si>
  <si>
    <t>复刻原型交互；79 个弹窗模板与四段式详情组件可直接参照</t>
  </si>
  <si>
    <t>FP1-01</t>
  </si>
  <si>
    <t>项目档案：页面 + 表结构与接口</t>
  </si>
  <si>
    <t>项目档案</t>
  </si>
  <si>
    <t>FP1-02</t>
  </si>
  <si>
    <t>客商管理：三类客商档案（含开票资料）</t>
  </si>
  <si>
    <t>客商管理</t>
  </si>
  <si>
    <t>FP1-03</t>
  </si>
  <si>
    <t>器具档案：页面 + 接口</t>
  </si>
  <si>
    <t>器具档案</t>
  </si>
  <si>
    <t>FP1-04</t>
  </si>
  <si>
    <t>零部件档案：页面 + 接口</t>
  </si>
  <si>
    <t>零部件档案</t>
  </si>
  <si>
    <t>FP1-05</t>
  </si>
  <si>
    <t>子母件 BOM：维护页 + 版本管理与配比校验</t>
  </si>
  <si>
    <t>BOM + BOM维护（2页）</t>
  </si>
  <si>
    <t>配比错误需拦截</t>
  </si>
  <si>
    <t>FP1-06</t>
  </si>
  <si>
    <t>库位档案：页面 + 接口（仓/区/位三级）</t>
  </si>
  <si>
    <t>库位档案</t>
  </si>
  <si>
    <t>预留扫码接口（REQ-20）</t>
  </si>
  <si>
    <t>FP2-01</t>
  </si>
  <si>
    <t>项目编码规则：规则引擎 + 配置</t>
  </si>
  <si>
    <t>项目档案（编码规则弹窗）</t>
  </si>
  <si>
    <t>FP2-02</t>
  </si>
  <si>
    <t>上下游绑定：关系维护 + 模型接口</t>
  </si>
  <si>
    <t>项目档案（上下游绑定弹窗）</t>
  </si>
  <si>
    <t>FP2-03</t>
  </si>
  <si>
    <t>项目看板：图表页 + 统计接口</t>
  </si>
  <si>
    <t>首页·项目看板</t>
  </si>
  <si>
    <t>FP2-04</t>
  </si>
  <si>
    <t>明细查看：从汇总数据进入单据明细</t>
  </si>
  <si>
    <t>项目详情</t>
  </si>
  <si>
    <t>（待补）</t>
  </si>
  <si>
    <t>我的待办：18 类待办聚合入口</t>
  </si>
  <si>
    <t>首页·我的待办</t>
  </si>
  <si>
    <t>FP 码待补（§5.1 未编）；聚合各模块待办，需各模块联动</t>
  </si>
  <si>
    <t>FP3-01</t>
  </si>
  <si>
    <t>采购入库单（执行）：录单 + 入库过账与库存更新</t>
  </si>
  <si>
    <t>采购入库 列表+录单（2页）</t>
  </si>
  <si>
    <t>由 FP8-03 到货发起，凭单验收</t>
  </si>
  <si>
    <t>FP3-02 ★新增</t>
  </si>
  <si>
    <t>组装单：录单 + 库存转换引擎（A+B→C）</t>
  </si>
  <si>
    <t>组装 列表+录单（2页）</t>
  </si>
  <si>
    <t>新逻辑：组装动作首次入系统；组装后散件转成品库存</t>
  </si>
  <si>
    <t>FP3-03</t>
  </si>
  <si>
    <t>组合出库单：录单 + 出库过账与台账联动</t>
  </si>
  <si>
    <t>组合出库 列表+录单（2页）</t>
  </si>
  <si>
    <t>FP3-04</t>
  </si>
  <si>
    <t>退租入库验收单：按零件核对缺损并记明细</t>
  </si>
  <si>
    <t>退租入库列表（审核弹窗）</t>
  </si>
  <si>
    <t>由退租申请（B4）触发；退租入库加拆散去向（v2.8）</t>
  </si>
  <si>
    <t>FP3-05</t>
  </si>
  <si>
    <t>盘点单：零件/组合双口径 + 盘盈亏过账</t>
  </si>
  <si>
    <t>盘点 列表+录入（2页）</t>
  </si>
  <si>
    <t>FP3-06</t>
  </si>
  <si>
    <t>库存查询：零件/组合双视角 + 库存流水</t>
  </si>
  <si>
    <t>库存查询（含流水弹窗）</t>
  </si>
  <si>
    <t>销售出库单：录单 + 出库过账（买卖线出库执行）</t>
  </si>
  <si>
    <t>销售出库列表（新建/审核弹窗）</t>
  </si>
  <si>
    <t>FP 码待补；FP8-04 销售订单审核后走此单出库</t>
  </si>
  <si>
    <t>其他入库单：无单据来源杂项入库</t>
  </si>
  <si>
    <t>其他入库列表（新建/审核弹窗）</t>
  </si>
  <si>
    <t>FP 码待补</t>
  </si>
  <si>
    <t>其他出库单：报废/杂项出库</t>
  </si>
  <si>
    <t>其他出库列表（新建/审核弹窗）</t>
  </si>
  <si>
    <t>库存调拨单：库间调拨 + 过账</t>
  </si>
  <si>
    <t>库存调拨列表（新建/审核弹窗）</t>
  </si>
  <si>
    <t>拆卸单：C→A+B 逆向、散件回库</t>
  </si>
  <si>
    <t>拆卸管理列表（新建/审核弹窗）</t>
  </si>
  <si>
    <t>FP 码待补；组装逆向，应对日计划变更</t>
  </si>
  <si>
    <t>租入入库单：租入包装验收入库（L3/L4）</t>
  </si>
  <si>
    <t>租入入库列表（确认弹窗）</t>
  </si>
  <si>
    <t>FP 码待补；租入体系独立单据（09-04 拍板）</t>
  </si>
  <si>
    <t>租入归还单：归还供应商出库（L3/L4）</t>
  </si>
  <si>
    <t>租入归还列表（新建/审核弹窗）</t>
  </si>
  <si>
    <t>FP4-01</t>
  </si>
  <si>
    <t>租出台账：页面 + 接口</t>
  </si>
  <si>
    <t>租出台账</t>
  </si>
  <si>
    <t>资产来源标记（v2.8）</t>
  </si>
  <si>
    <t>FP4-02</t>
  </si>
  <si>
    <t>在租台账：在库/在途/客户端/退租四态统计</t>
  </si>
  <si>
    <t>在租台账（器具出租履历弹窗）</t>
  </si>
  <si>
    <t>FP4-03</t>
  </si>
  <si>
    <t>循环状态与计费：状态流转 + 按数量结算</t>
  </si>
  <si>
    <t>在租台账（状态操作）</t>
  </si>
  <si>
    <t>#1 计费规则未确认；租金自动计费（US-14）暂不在基线</t>
  </si>
  <si>
    <t>FP4-04</t>
  </si>
  <si>
    <t>丢损赔偿单：退租缺损自动生成赔偿应收</t>
  </si>
  <si>
    <t>丢损赔偿单（审核/报废弹窗）</t>
  </si>
  <si>
    <t>FP4-05</t>
  </si>
  <si>
    <t>租赁单（出租）：向客户租出、生成租赁单</t>
  </si>
  <si>
    <t>租赁单列表（新建/审核弹窗）</t>
  </si>
  <si>
    <t>替代原「客户下单」，关联项目与客户</t>
  </si>
  <si>
    <t>退租申请：客户退租入口，触发验收</t>
  </si>
  <si>
    <t>退租申请列表（新建/审核弹窗）</t>
  </si>
  <si>
    <t>FP 码待补；L4 退租申请节点（v2.8）</t>
  </si>
  <si>
    <t>FP5-01</t>
  </si>
  <si>
    <t>订单管理（代下单）：项目经理代客户下单、统一订单列表</t>
  </si>
  <si>
    <t>销售订单列表（租赁/买卖两用）</t>
  </si>
  <si>
    <t>REQ-07：客户发 PO、不再分客户端</t>
  </si>
  <si>
    <t>FP5-02</t>
  </si>
  <si>
    <t>订单审核：工作台 + 审核流转</t>
  </si>
  <si>
    <t>销售订单审核弹窗</t>
  </si>
  <si>
    <t>FP5-03</t>
  </si>
  <si>
    <t>订单同步（路凯）：同步通道 + 记录重发</t>
  </si>
  <si>
    <t>后台通道（无独立页）</t>
  </si>
  <si>
    <t>#6 对接方式待定，评估按导出/接口两档</t>
  </si>
  <si>
    <t>FP5-04</t>
  </si>
  <si>
    <t>结算数据导出：数据生成 + 传递</t>
  </si>
  <si>
    <t>后台逻辑 + 导出入口</t>
  </si>
  <si>
    <t>#6 结算格式待路凯方提供</t>
  </si>
  <si>
    <t>FP6-01</t>
  </si>
  <si>
    <t>应收账单生成：归集规则 + 账单页</t>
  </si>
  <si>
    <t>应收账单（生成/详情弹窗）</t>
  </si>
  <si>
    <t>FP6-02</t>
  </si>
  <si>
    <t>开票登记与发票上传：登记 + 应收关联</t>
  </si>
  <si>
    <t>开票登记（新建/详情弹窗）</t>
  </si>
  <si>
    <t>依赖 #8 开票主体信息</t>
  </si>
  <si>
    <t>FP6-03</t>
  </si>
  <si>
    <t>回款登记：到账录入 + 关联</t>
  </si>
  <si>
    <t>回款登记（收款登记弹窗）</t>
  </si>
  <si>
    <t>FP6-04 ★补缺</t>
  </si>
  <si>
    <t>银行水单核销：导入勾对 + 部分核销 + 对账联调</t>
  </si>
  <si>
    <t>银行水单核销（勾对工作台）</t>
  </si>
  <si>
    <t>现状缺失环节；依赖 #5 水单样例</t>
  </si>
  <si>
    <t>FP6-05</t>
  </si>
  <si>
    <t>项目盈亏报表：汇总计算 + 报表页</t>
  </si>
  <si>
    <t>盈亏报表</t>
  </si>
  <si>
    <t>FP6-06 ★新增</t>
  </si>
  <si>
    <t>应付账单：采购/租入自动生成应付（第一期简化）</t>
  </si>
  <si>
    <t>应付账单（新建/详情弹窗）</t>
  </si>
  <si>
    <t>REQ-21；租金应付可跳租入单（v2.8）</t>
  </si>
  <si>
    <t>FP6-07 ★新增</t>
  </si>
  <si>
    <t>付款登记：银行付款录入，关联应付</t>
  </si>
  <si>
    <t>付款登记（新建/付款确认弹窗）</t>
  </si>
  <si>
    <t>REQ-21</t>
  </si>
  <si>
    <t>FP7-01</t>
  </si>
  <si>
    <t>组织与权限：用户/角色/数据权限（我方/客户区分）</t>
  </si>
  <si>
    <t>用户权限（角色管理弹窗）</t>
  </si>
  <si>
    <t>FP7-02</t>
  </si>
  <si>
    <t>操作日志：埋点存储 + 查询页</t>
  </si>
  <si>
    <t>操作日志</t>
  </si>
  <si>
    <t>FP7-03</t>
  </si>
  <si>
    <t>数据字典：字典管理 + 配置页</t>
  </si>
  <si>
    <t>数据字典（新增字典项弹窗）</t>
  </si>
  <si>
    <t>FP8-01</t>
  </si>
  <si>
    <t>采购订单：新建 + 列表（先销后采/先采后销）</t>
  </si>
  <si>
    <t>采购订单列表（新建/详情弹窗）</t>
  </si>
  <si>
    <t>B1 采购线（09-04 拍板，不以销定采）</t>
  </si>
  <si>
    <t>FP8-02</t>
  </si>
  <si>
    <t>采购订单审核：状态流（待提交/待审核/已完成）</t>
  </si>
  <si>
    <t>采购订单审核弹窗</t>
  </si>
  <si>
    <t>FP8-03</t>
  </si>
  <si>
    <t>采购入库（发起）：到货登记关联采购订单</t>
  </si>
  <si>
    <t>采购入库列表（凭单验收注记）</t>
  </si>
  <si>
    <t>执行由 FP3-01 承接</t>
  </si>
  <si>
    <t>FP8-04</t>
  </si>
  <si>
    <t>销售订单（买卖线）：客户购买订单</t>
  </si>
  <si>
    <t>销售订单列表（与 FP5-01 同页两线）</t>
  </si>
  <si>
    <t>审核后走销售出库（B3）</t>
  </si>
  <si>
    <t>租入单：向路凯/供应商租入包装（L3/L4）</t>
  </si>
  <si>
    <t>租入单列表（新建/审核弹窗）</t>
  </si>
  <si>
    <t>FP 码待补；租入体系起点，触发租入入库</t>
  </si>
  <si>
    <t>集成测试用例编写与执行</t>
  </si>
  <si>
    <t>F01 导航图 v2.8</t>
  </si>
  <si>
    <t>覆盖 F01 五条主线（B1 销售/采购双线、L1~L4）+ S1~S7 支线 + 应收/应付财务通道</t>
  </si>
  <si>
    <t>UAT 支持与缺陷修复</t>
  </si>
  <si>
    <t>主数据整理与导入模板</t>
  </si>
  <si>
    <t>迁移</t>
  </si>
  <si>
    <t>依赖 #4 主数据清单</t>
  </si>
  <si>
    <t>期初库存与在租数据迁移（含租入在途）</t>
  </si>
  <si>
    <t>依赖 #5 现有台账导出</t>
  </si>
  <si>
    <t>迁移核对与差异处理</t>
  </si>
  <si>
    <t>环境部署与发布</t>
  </si>
  <si>
    <t>部署</t>
  </si>
  <si>
    <t>上线切换与并行期支持</t>
  </si>
  <si>
    <t>线上试运行与并行验证（真实订单并行跑、问题快速响应）</t>
  </si>
  <si>
    <t>建议预留 2~4 周试运行窗口，客户验收后转正式运行</t>
  </si>
  <si>
    <t>合计（人日）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</si>
</sst>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3"/>
      <color rgb="FF1F4E79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FDF0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workbookViewId="0">
      <pane ySplit="3" topLeftCell="A4" activePane="bottomLeft" state="frozen"/>
      <selection pane="bottomLeft"/>
    </sheetView>
  </sheetViews>
  <sheetFormatPr defaultRowHeight="14" x14ac:dyDescent="0.25"/>
  <cols>
    <col min="1" max="1" width="6" customWidth="1"/>
    <col min="2" max="2" width="17" customWidth="1"/>
    <col min="3" max="3" width="11" customWidth="1"/>
    <col min="4" max="5" width="13" customWidth="1"/>
    <col min="6" max="6" width="36" customWidth="1"/>
  </cols>
  <sheetData>
    <row r="1" spans="1:6" ht="18" x14ac:dyDescent="0.45">
      <c r="A1" s="1" t="s">
        <v>0</v>
      </c>
    </row>
    <row r="3" spans="1:6" ht="14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4" t="s">
        <v>8</v>
      </c>
      <c r="C4" s="5">
        <f>SUMIF('功能点评估（全栈）'!$A$4:$A$69,$A4,'功能点评估（全栈）'!$G$4:$G$69)</f>
        <v>0</v>
      </c>
      <c r="D4" s="6" t="str">
        <f>IF(COUNT('功能点评估（全栈）'!I4:I7)=0,"",MIN('功能点评估（全栈）'!I4:I7))</f>
        <v/>
      </c>
      <c r="E4" s="6" t="str">
        <f>IF(COUNT('功能点评估（全栈）'!J4:J7)=0,"",MAX('功能点评估（全栈）'!J4:J7))</f>
        <v/>
      </c>
      <c r="F4" s="4" t="s">
        <v>9</v>
      </c>
    </row>
    <row r="5" spans="1:6" x14ac:dyDescent="0.25">
      <c r="A5" s="3" t="s">
        <v>10</v>
      </c>
      <c r="B5" s="4" t="s">
        <v>11</v>
      </c>
      <c r="C5" s="5">
        <f>SUMIF('功能点评估（全栈）'!$A$4:$A$69,$A5,'功能点评估（全栈）'!$G$4:$G$69)</f>
        <v>0</v>
      </c>
      <c r="D5" s="6" t="str">
        <f>IF(COUNT('功能点评估（全栈）'!I8:I9)=0,"",MIN('功能点评估（全栈）'!I8:I9))</f>
        <v/>
      </c>
      <c r="E5" s="6" t="str">
        <f>IF(COUNT('功能点评估（全栈）'!J8:J9)=0,"",MAX('功能点评估（全栈）'!J8:J9))</f>
        <v/>
      </c>
      <c r="F5" s="4" t="s">
        <v>12</v>
      </c>
    </row>
    <row r="6" spans="1:6" x14ac:dyDescent="0.25">
      <c r="A6" s="3" t="s">
        <v>13</v>
      </c>
      <c r="B6" s="4" t="s">
        <v>14</v>
      </c>
      <c r="C6" s="5">
        <f>SUMIF('功能点评估（全栈）'!$A$4:$A$69,$A6,'功能点评估（全栈）'!$G$4:$G$69)</f>
        <v>0</v>
      </c>
      <c r="D6" s="6" t="str">
        <f>IF(COUNT('功能点评估（全栈）'!I10:I12)=0,"",MIN('功能点评估（全栈）'!I10:I12))</f>
        <v/>
      </c>
      <c r="E6" s="6" t="str">
        <f>IF(COUNT('功能点评估（全栈）'!J10:J12)=0,"",MAX('功能点评估（全栈）'!J10:J12))</f>
        <v/>
      </c>
      <c r="F6" s="4"/>
    </row>
    <row r="7" spans="1:6" x14ac:dyDescent="0.25">
      <c r="A7" s="3" t="s">
        <v>15</v>
      </c>
      <c r="B7" s="4" t="s">
        <v>16</v>
      </c>
      <c r="C7" s="5">
        <f>SUMIF('功能点评估（全栈）'!$A$4:$A$69,$A7,'功能点评估（全栈）'!$G$4:$G$69)</f>
        <v>0</v>
      </c>
      <c r="D7" s="6" t="str">
        <f>IF(COUNT('功能点评估（全栈）'!I13:I18)=0,"",MIN('功能点评估（全栈）'!I13:I18))</f>
        <v/>
      </c>
      <c r="E7" s="6" t="str">
        <f>IF(COUNT('功能点评估（全栈）'!J13:J18)=0,"",MAX('功能点评估（全栈）'!J13:J18))</f>
        <v/>
      </c>
      <c r="F7" s="4"/>
    </row>
    <row r="8" spans="1:6" x14ac:dyDescent="0.25">
      <c r="A8" s="3" t="s">
        <v>17</v>
      </c>
      <c r="B8" s="4" t="s">
        <v>18</v>
      </c>
      <c r="C8" s="5">
        <f>SUMIF('功能点评估（全栈）'!$A$4:$A$69,$A8,'功能点评估（全栈）'!$G$4:$G$69)</f>
        <v>0</v>
      </c>
      <c r="D8" s="6" t="str">
        <f>IF(COUNT('功能点评估（全栈）'!I19:I23)=0,"",MIN('功能点评估（全栈）'!I19:I23))</f>
        <v/>
      </c>
      <c r="E8" s="6" t="str">
        <f>IF(COUNT('功能点评估（全栈）'!J19:J23)=0,"",MAX('功能点评估（全栈）'!J19:J23))</f>
        <v/>
      </c>
      <c r="F8" s="4"/>
    </row>
    <row r="9" spans="1:6" ht="26" x14ac:dyDescent="0.25">
      <c r="A9" s="3" t="s">
        <v>19</v>
      </c>
      <c r="B9" s="4" t="s">
        <v>20</v>
      </c>
      <c r="C9" s="5">
        <f>SUMIF('功能点评估（全栈）'!$A$4:$A$69,$A9,'功能点评估（全栈）'!$G$4:$G$69)</f>
        <v>0</v>
      </c>
      <c r="D9" s="6" t="str">
        <f>IF(COUNT('功能点评估（全栈）'!I24:I36)=0,"",MIN('功能点评估（全栈）'!I24:I36))</f>
        <v/>
      </c>
      <c r="E9" s="6" t="str">
        <f>IF(COUNT('功能点评估（全栈）'!J24:J36)=0,"",MAX('功能点评估（全栈）'!J24:J36))</f>
        <v/>
      </c>
      <c r="F9" s="4" t="s">
        <v>21</v>
      </c>
    </row>
    <row r="10" spans="1:6" x14ac:dyDescent="0.25">
      <c r="A10" s="3" t="s">
        <v>22</v>
      </c>
      <c r="B10" s="4" t="s">
        <v>23</v>
      </c>
      <c r="C10" s="5">
        <f>SUMIF('功能点评估（全栈）'!$A$4:$A$69,$A10,'功能点评估（全栈）'!$G$4:$G$69)</f>
        <v>0</v>
      </c>
      <c r="D10" s="6" t="str">
        <f>IF(COUNT('功能点评估（全栈）'!I37:I42)=0,"",MIN('功能点评估（全栈）'!I37:I42))</f>
        <v/>
      </c>
      <c r="E10" s="6" t="str">
        <f>IF(COUNT('功能点评估（全栈）'!J37:J42)=0,"",MAX('功能点评估（全栈）'!J37:J42))</f>
        <v/>
      </c>
      <c r="F10" s="4" t="s">
        <v>24</v>
      </c>
    </row>
    <row r="11" spans="1:6" x14ac:dyDescent="0.25">
      <c r="A11" s="3" t="s">
        <v>25</v>
      </c>
      <c r="B11" s="4" t="s">
        <v>26</v>
      </c>
      <c r="C11" s="5">
        <f>SUMIF('功能点评估（全栈）'!$A$4:$A$69,$A11,'功能点评估（全栈）'!$G$4:$G$69)</f>
        <v>0</v>
      </c>
      <c r="D11" s="6" t="str">
        <f>IF(COUNT('功能点评估（全栈）'!I43:I46)=0,"",MIN('功能点评估（全栈）'!I43:I46))</f>
        <v/>
      </c>
      <c r="E11" s="6" t="str">
        <f>IF(COUNT('功能点评估（全栈）'!J43:J46)=0,"",MAX('功能点评估（全栈）'!J43:J46))</f>
        <v/>
      </c>
      <c r="F11" s="4" t="s">
        <v>27</v>
      </c>
    </row>
    <row r="12" spans="1:6" x14ac:dyDescent="0.25">
      <c r="A12" s="3" t="s">
        <v>28</v>
      </c>
      <c r="B12" s="4" t="s">
        <v>29</v>
      </c>
      <c r="C12" s="5">
        <f>SUMIF('功能点评估（全栈）'!$A$4:$A$69,$A12,'功能点评估（全栈）'!$G$4:$G$69)</f>
        <v>0</v>
      </c>
      <c r="D12" s="6" t="str">
        <f>IF(COUNT('功能点评估（全栈）'!I47:I53)=0,"",MIN('功能点评估（全栈）'!I47:I53))</f>
        <v/>
      </c>
      <c r="E12" s="6" t="str">
        <f>IF(COUNT('功能点评估（全栈）'!J47:J53)=0,"",MAX('功能点评估（全栈）'!J47:J53))</f>
        <v/>
      </c>
      <c r="F12" s="4" t="s">
        <v>30</v>
      </c>
    </row>
    <row r="13" spans="1:6" x14ac:dyDescent="0.25">
      <c r="A13" s="3" t="s">
        <v>31</v>
      </c>
      <c r="B13" s="4" t="s">
        <v>32</v>
      </c>
      <c r="C13" s="5">
        <f>SUMIF('功能点评估（全栈）'!$A$4:$A$69,$A13,'功能点评估（全栈）'!$G$4:$G$69)</f>
        <v>0</v>
      </c>
      <c r="D13" s="6" t="str">
        <f>IF(COUNT('功能点评估（全栈）'!I54:I56)=0,"",MIN('功能点评估（全栈）'!I54:I56))</f>
        <v/>
      </c>
      <c r="E13" s="6" t="str">
        <f>IF(COUNT('功能点评估（全栈）'!J54:J56)=0,"",MAX('功能点评估（全栈）'!J54:J56))</f>
        <v/>
      </c>
      <c r="F13" s="4"/>
    </row>
    <row r="14" spans="1:6" x14ac:dyDescent="0.25">
      <c r="A14" s="3" t="s">
        <v>33</v>
      </c>
      <c r="B14" s="4" t="s">
        <v>34</v>
      </c>
      <c r="C14" s="5">
        <f>SUMIF('功能点评估（全栈）'!$A$4:$A$69,$A14,'功能点评估（全栈）'!$G$4:$G$69)</f>
        <v>0</v>
      </c>
      <c r="D14" s="6" t="str">
        <f>IF(COUNT('功能点评估（全栈）'!I57:I61)=0,"",MIN('功能点评估（全栈）'!I57:I61))</f>
        <v/>
      </c>
      <c r="E14" s="6" t="str">
        <f>IF(COUNT('功能点评估（全栈）'!J57:J61)=0,"",MAX('功能点评估（全栈）'!J57:J61))</f>
        <v/>
      </c>
      <c r="F14" s="4" t="s">
        <v>35</v>
      </c>
    </row>
    <row r="15" spans="1:6" x14ac:dyDescent="0.25">
      <c r="A15" s="3" t="s">
        <v>36</v>
      </c>
      <c r="B15" s="4" t="s">
        <v>37</v>
      </c>
      <c r="C15" s="5">
        <f>SUMIF('功能点评估（全栈）'!$A$4:$A$69,$A15,'功能点评估（全栈）'!$G$4:$G$69)</f>
        <v>0</v>
      </c>
      <c r="D15" s="6" t="str">
        <f>IF(COUNT('功能点评估（全栈）'!I62:I63)=0,"",MIN('功能点评估（全栈）'!I62:I63))</f>
        <v/>
      </c>
      <c r="E15" s="6" t="str">
        <f>IF(COUNT('功能点评估（全栈）'!J62:J63)=0,"",MAX('功能点评估（全栈）'!J62:J63))</f>
        <v/>
      </c>
      <c r="F15" s="4" t="s">
        <v>38</v>
      </c>
    </row>
    <row r="16" spans="1:6" x14ac:dyDescent="0.25">
      <c r="A16" s="3" t="s">
        <v>39</v>
      </c>
      <c r="B16" s="4" t="s">
        <v>40</v>
      </c>
      <c r="C16" s="5">
        <f>SUMIF('功能点评估（全栈）'!$A$4:$A$69,$A16,'功能点评估（全栈）'!$G$4:$G$69)</f>
        <v>0</v>
      </c>
      <c r="D16" s="6" t="str">
        <f>IF(COUNT('功能点评估（全栈）'!I64:I66)=0,"",MIN('功能点评估（全栈）'!I64:I66))</f>
        <v/>
      </c>
      <c r="E16" s="6" t="str">
        <f>IF(COUNT('功能点评估（全栈）'!J64:J66)=0,"",MAX('功能点评估（全栈）'!J64:J66))</f>
        <v/>
      </c>
      <c r="F16" s="4" t="s">
        <v>41</v>
      </c>
    </row>
    <row r="17" spans="1:6" x14ac:dyDescent="0.25">
      <c r="A17" s="3" t="s">
        <v>42</v>
      </c>
      <c r="B17" s="4" t="s">
        <v>43</v>
      </c>
      <c r="C17" s="5">
        <f>SUMIF('功能点评估（全栈）'!$A$4:$A$69,$A17,'功能点评估（全栈）'!$G$4:$G$69)</f>
        <v>0</v>
      </c>
      <c r="D17" s="6" t="str">
        <f>IF(COUNT('功能点评估（全栈）'!I67:I69)=0,"",MIN('功能点评估（全栈）'!I67:I69))</f>
        <v/>
      </c>
      <c r="E17" s="6" t="str">
        <f>IF(COUNT('功能点评估（全栈）'!J67:J69)=0,"",MAX('功能点评估（全栈）'!J67:J69))</f>
        <v/>
      </c>
      <c r="F17" s="4" t="s">
        <v>44</v>
      </c>
    </row>
    <row r="18" spans="1:6" ht="15.5" x14ac:dyDescent="0.4">
      <c r="A18" s="7"/>
      <c r="B18" s="7" t="s">
        <v>45</v>
      </c>
      <c r="C18" s="8">
        <f>SUM(C4:C17)</f>
        <v>0</v>
      </c>
      <c r="D18" s="9" t="str">
        <f>IF(COUNT(D4:D17)=0,"",MIN(D4:D17))</f>
        <v/>
      </c>
      <c r="E18" s="9" t="str">
        <f>IF(COUNT(E4:E17)=0,"",MAX(E4:E17))</f>
        <v/>
      </c>
      <c r="F18" s="7"/>
    </row>
    <row r="20" spans="1:6" ht="15.5" x14ac:dyDescent="0.4">
      <c r="A20" s="10" t="s">
        <v>46</v>
      </c>
    </row>
    <row r="21" spans="1:6" ht="15" x14ac:dyDescent="0.35">
      <c r="A21" s="11" t="s">
        <v>47</v>
      </c>
      <c r="C21" s="12"/>
      <c r="D21" s="13" t="s">
        <v>48</v>
      </c>
    </row>
    <row r="22" spans="1:6" ht="15" x14ac:dyDescent="0.35">
      <c r="A22" s="11" t="s">
        <v>49</v>
      </c>
      <c r="C22" s="12"/>
      <c r="D22" s="13" t="s">
        <v>50</v>
      </c>
    </row>
    <row r="23" spans="1:6" ht="15" x14ac:dyDescent="0.35">
      <c r="A23" s="11" t="s">
        <v>51</v>
      </c>
      <c r="C23" s="5">
        <v>21</v>
      </c>
      <c r="D23" s="13" t="s">
        <v>52</v>
      </c>
    </row>
    <row r="24" spans="1:6" ht="15" x14ac:dyDescent="0.35">
      <c r="A24" s="11" t="s">
        <v>53</v>
      </c>
      <c r="C24" s="8" t="str">
        <f>IF(OR($C$21="",$C$18=0),"",$C$18*(1+$C$21))</f>
        <v/>
      </c>
      <c r="D24" s="13" t="s">
        <v>54</v>
      </c>
    </row>
    <row r="25" spans="1:6" ht="15" x14ac:dyDescent="0.35">
      <c r="A25" s="11" t="s">
        <v>55</v>
      </c>
      <c r="C25" s="8" t="str">
        <f>IF(OR($C$21="",$C$22="",$C$22=0,$C$24=""),"",$C$24/($C$23*$C$22))</f>
        <v/>
      </c>
      <c r="D25" s="13" t="s">
        <v>56</v>
      </c>
    </row>
    <row r="26" spans="1:6" ht="15" x14ac:dyDescent="0.35">
      <c r="A26" s="11" t="s">
        <v>57</v>
      </c>
      <c r="C26" s="8" t="str">
        <f>IF(OR($C$21="",$C$22="",$C$22=0,$C$24=""),"",$C$24/($C$23*$C$22)*4.33)</f>
        <v/>
      </c>
      <c r="D26" s="13" t="s">
        <v>58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25"/>
  <cols>
    <col min="1" max="1" width="6" customWidth="1"/>
    <col min="2" max="2" width="15" customWidth="1"/>
    <col min="3" max="3" width="11" customWidth="1"/>
    <col min="4" max="4" width="38" customWidth="1"/>
    <col min="5" max="5" width="6" customWidth="1"/>
    <col min="6" max="6" width="26" customWidth="1"/>
    <col min="7" max="7" width="7" customWidth="1"/>
    <col min="8" max="8" width="9" customWidth="1"/>
    <col min="9" max="10" width="12" customWidth="1"/>
    <col min="11" max="11" width="34" customWidth="1"/>
  </cols>
  <sheetData>
    <row r="1" spans="1:11" ht="18" x14ac:dyDescent="0.45">
      <c r="A1" s="1" t="s">
        <v>59</v>
      </c>
    </row>
    <row r="2" spans="1:11" ht="15" x14ac:dyDescent="0.35">
      <c r="A2" s="13" t="s">
        <v>60</v>
      </c>
    </row>
    <row r="3" spans="1:11" ht="14.5" x14ac:dyDescent="0.25">
      <c r="A3" s="2" t="s">
        <v>1</v>
      </c>
      <c r="B3" s="2" t="s">
        <v>2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1" ht="26" x14ac:dyDescent="0.25">
      <c r="A4" s="3" t="s">
        <v>7</v>
      </c>
      <c r="B4" s="4" t="s">
        <v>8</v>
      </c>
      <c r="C4" s="14" t="s">
        <v>70</v>
      </c>
      <c r="D4" s="4" t="s">
        <v>71</v>
      </c>
      <c r="E4" s="14" t="s">
        <v>72</v>
      </c>
      <c r="F4" s="4" t="s">
        <v>73</v>
      </c>
      <c r="G4" s="12"/>
      <c r="H4" s="15"/>
      <c r="I4" s="16"/>
      <c r="J4" s="16"/>
      <c r="K4" s="4" t="s">
        <v>74</v>
      </c>
    </row>
    <row r="5" spans="1:11" x14ac:dyDescent="0.25">
      <c r="A5" s="3" t="s">
        <v>7</v>
      </c>
      <c r="B5" s="4" t="s">
        <v>8</v>
      </c>
      <c r="C5" s="14" t="s">
        <v>70</v>
      </c>
      <c r="D5" s="4" t="s">
        <v>75</v>
      </c>
      <c r="E5" s="14" t="s">
        <v>72</v>
      </c>
      <c r="F5" s="4" t="s">
        <v>70</v>
      </c>
      <c r="G5" s="12"/>
      <c r="H5" s="15"/>
      <c r="I5" s="16"/>
      <c r="J5" s="16"/>
      <c r="K5" s="4" t="s">
        <v>76</v>
      </c>
    </row>
    <row r="6" spans="1:11" x14ac:dyDescent="0.25">
      <c r="A6" s="3" t="s">
        <v>7</v>
      </c>
      <c r="B6" s="4" t="s">
        <v>8</v>
      </c>
      <c r="C6" s="14" t="s">
        <v>70</v>
      </c>
      <c r="D6" s="4" t="s">
        <v>77</v>
      </c>
      <c r="E6" s="14" t="s">
        <v>78</v>
      </c>
      <c r="F6" s="4" t="s">
        <v>73</v>
      </c>
      <c r="G6" s="12"/>
      <c r="H6" s="15"/>
      <c r="I6" s="16"/>
      <c r="J6" s="16"/>
      <c r="K6" s="4"/>
    </row>
    <row r="7" spans="1:11" x14ac:dyDescent="0.25">
      <c r="A7" s="3" t="s">
        <v>7</v>
      </c>
      <c r="B7" s="4" t="s">
        <v>8</v>
      </c>
      <c r="C7" s="14" t="s">
        <v>70</v>
      </c>
      <c r="D7" s="4" t="s">
        <v>79</v>
      </c>
      <c r="E7" s="14" t="s">
        <v>78</v>
      </c>
      <c r="F7" s="4" t="s">
        <v>73</v>
      </c>
      <c r="G7" s="12"/>
      <c r="H7" s="15"/>
      <c r="I7" s="16"/>
      <c r="J7" s="16"/>
      <c r="K7" s="4" t="s">
        <v>80</v>
      </c>
    </row>
    <row r="8" spans="1:11" ht="26" x14ac:dyDescent="0.25">
      <c r="A8" s="3" t="s">
        <v>10</v>
      </c>
      <c r="B8" s="4" t="s">
        <v>11</v>
      </c>
      <c r="C8" s="14" t="s">
        <v>70</v>
      </c>
      <c r="D8" s="4" t="s">
        <v>81</v>
      </c>
      <c r="E8" s="14" t="s">
        <v>82</v>
      </c>
      <c r="F8" s="4" t="s">
        <v>83</v>
      </c>
      <c r="G8" s="12"/>
      <c r="H8" s="15"/>
      <c r="I8" s="16"/>
      <c r="J8" s="16"/>
      <c r="K8" s="4" t="s">
        <v>84</v>
      </c>
    </row>
    <row r="9" spans="1:11" x14ac:dyDescent="0.25">
      <c r="A9" s="3" t="s">
        <v>10</v>
      </c>
      <c r="B9" s="4" t="s">
        <v>11</v>
      </c>
      <c r="C9" s="14" t="s">
        <v>70</v>
      </c>
      <c r="D9" s="4" t="s">
        <v>85</v>
      </c>
      <c r="E9" s="14" t="s">
        <v>82</v>
      </c>
      <c r="F9" s="4" t="s">
        <v>86</v>
      </c>
      <c r="G9" s="12"/>
      <c r="H9" s="15"/>
      <c r="I9" s="16"/>
      <c r="J9" s="16"/>
      <c r="K9" s="4" t="s">
        <v>87</v>
      </c>
    </row>
    <row r="10" spans="1:11" ht="26" x14ac:dyDescent="0.25">
      <c r="A10" s="3" t="s">
        <v>13</v>
      </c>
      <c r="B10" s="4" t="s">
        <v>14</v>
      </c>
      <c r="C10" s="14" t="s">
        <v>70</v>
      </c>
      <c r="D10" s="4" t="s">
        <v>88</v>
      </c>
      <c r="E10" s="14" t="s">
        <v>89</v>
      </c>
      <c r="F10" s="4" t="s">
        <v>70</v>
      </c>
      <c r="G10" s="12"/>
      <c r="H10" s="15"/>
      <c r="I10" s="16"/>
      <c r="J10" s="16"/>
      <c r="K10" s="4" t="s">
        <v>90</v>
      </c>
    </row>
    <row r="11" spans="1:11" x14ac:dyDescent="0.25">
      <c r="A11" s="3" t="s">
        <v>13</v>
      </c>
      <c r="B11" s="4" t="s">
        <v>14</v>
      </c>
      <c r="C11" s="14" t="s">
        <v>70</v>
      </c>
      <c r="D11" s="4" t="s">
        <v>91</v>
      </c>
      <c r="E11" s="14" t="s">
        <v>89</v>
      </c>
      <c r="F11" s="4" t="s">
        <v>70</v>
      </c>
      <c r="G11" s="12"/>
      <c r="H11" s="15"/>
      <c r="I11" s="16"/>
      <c r="J11" s="16"/>
      <c r="K11" s="4" t="s">
        <v>92</v>
      </c>
    </row>
    <row r="12" spans="1:11" ht="26" x14ac:dyDescent="0.25">
      <c r="A12" s="3" t="s">
        <v>13</v>
      </c>
      <c r="B12" s="4" t="s">
        <v>14</v>
      </c>
      <c r="C12" s="14" t="s">
        <v>70</v>
      </c>
      <c r="D12" s="4" t="s">
        <v>93</v>
      </c>
      <c r="E12" s="14" t="s">
        <v>89</v>
      </c>
      <c r="F12" s="4" t="s">
        <v>94</v>
      </c>
      <c r="G12" s="12"/>
      <c r="H12" s="15"/>
      <c r="I12" s="16"/>
      <c r="J12" s="16"/>
      <c r="K12" s="4" t="s">
        <v>95</v>
      </c>
    </row>
    <row r="13" spans="1:11" x14ac:dyDescent="0.25">
      <c r="A13" s="3" t="s">
        <v>15</v>
      </c>
      <c r="B13" s="4" t="s">
        <v>16</v>
      </c>
      <c r="C13" s="14" t="s">
        <v>96</v>
      </c>
      <c r="D13" s="4" t="s">
        <v>97</v>
      </c>
      <c r="E13" s="14" t="s">
        <v>89</v>
      </c>
      <c r="F13" s="4" t="s">
        <v>98</v>
      </c>
      <c r="G13" s="12"/>
      <c r="H13" s="15"/>
      <c r="I13" s="16"/>
      <c r="J13" s="16"/>
      <c r="K13" s="4"/>
    </row>
    <row r="14" spans="1:11" x14ac:dyDescent="0.25">
      <c r="A14" s="3" t="s">
        <v>15</v>
      </c>
      <c r="B14" s="4" t="s">
        <v>16</v>
      </c>
      <c r="C14" s="14" t="s">
        <v>99</v>
      </c>
      <c r="D14" s="4" t="s">
        <v>100</v>
      </c>
      <c r="E14" s="14" t="s">
        <v>89</v>
      </c>
      <c r="F14" s="4" t="s">
        <v>101</v>
      </c>
      <c r="G14" s="12"/>
      <c r="H14" s="15"/>
      <c r="I14" s="16"/>
      <c r="J14" s="16"/>
      <c r="K14" s="4"/>
    </row>
    <row r="15" spans="1:11" x14ac:dyDescent="0.25">
      <c r="A15" s="3" t="s">
        <v>15</v>
      </c>
      <c r="B15" s="4" t="s">
        <v>16</v>
      </c>
      <c r="C15" s="14" t="s">
        <v>102</v>
      </c>
      <c r="D15" s="4" t="s">
        <v>103</v>
      </c>
      <c r="E15" s="14" t="s">
        <v>89</v>
      </c>
      <c r="F15" s="4" t="s">
        <v>104</v>
      </c>
      <c r="G15" s="12"/>
      <c r="H15" s="15"/>
      <c r="I15" s="16"/>
      <c r="J15" s="16"/>
      <c r="K15" s="4"/>
    </row>
    <row r="16" spans="1:11" x14ac:dyDescent="0.25">
      <c r="A16" s="3" t="s">
        <v>15</v>
      </c>
      <c r="B16" s="4" t="s">
        <v>16</v>
      </c>
      <c r="C16" s="14" t="s">
        <v>105</v>
      </c>
      <c r="D16" s="4" t="s">
        <v>106</v>
      </c>
      <c r="E16" s="14" t="s">
        <v>89</v>
      </c>
      <c r="F16" s="4" t="s">
        <v>107</v>
      </c>
      <c r="G16" s="12"/>
      <c r="H16" s="15"/>
      <c r="I16" s="16"/>
      <c r="J16" s="16"/>
      <c r="K16" s="4"/>
    </row>
    <row r="17" spans="1:11" x14ac:dyDescent="0.25">
      <c r="A17" s="3" t="s">
        <v>15</v>
      </c>
      <c r="B17" s="4" t="s">
        <v>16</v>
      </c>
      <c r="C17" s="14" t="s">
        <v>108</v>
      </c>
      <c r="D17" s="4" t="s">
        <v>109</v>
      </c>
      <c r="E17" s="14" t="s">
        <v>89</v>
      </c>
      <c r="F17" s="4" t="s">
        <v>110</v>
      </c>
      <c r="G17" s="12"/>
      <c r="H17" s="15"/>
      <c r="I17" s="16"/>
      <c r="J17" s="16"/>
      <c r="K17" s="4" t="s">
        <v>111</v>
      </c>
    </row>
    <row r="18" spans="1:11" x14ac:dyDescent="0.25">
      <c r="A18" s="3" t="s">
        <v>15</v>
      </c>
      <c r="B18" s="4" t="s">
        <v>16</v>
      </c>
      <c r="C18" s="14" t="s">
        <v>112</v>
      </c>
      <c r="D18" s="4" t="s">
        <v>113</v>
      </c>
      <c r="E18" s="14" t="s">
        <v>89</v>
      </c>
      <c r="F18" s="4" t="s">
        <v>114</v>
      </c>
      <c r="G18" s="12"/>
      <c r="H18" s="15"/>
      <c r="I18" s="16"/>
      <c r="J18" s="16"/>
      <c r="K18" s="4" t="s">
        <v>115</v>
      </c>
    </row>
    <row r="19" spans="1:11" x14ac:dyDescent="0.25">
      <c r="A19" s="3" t="s">
        <v>17</v>
      </c>
      <c r="B19" s="4" t="s">
        <v>18</v>
      </c>
      <c r="C19" s="14" t="s">
        <v>116</v>
      </c>
      <c r="D19" s="4" t="s">
        <v>117</v>
      </c>
      <c r="E19" s="14" t="s">
        <v>89</v>
      </c>
      <c r="F19" s="4" t="s">
        <v>118</v>
      </c>
      <c r="G19" s="12"/>
      <c r="H19" s="15"/>
      <c r="I19" s="16"/>
      <c r="J19" s="16"/>
      <c r="K19" s="4"/>
    </row>
    <row r="20" spans="1:11" x14ac:dyDescent="0.25">
      <c r="A20" s="3" t="s">
        <v>17</v>
      </c>
      <c r="B20" s="4" t="s">
        <v>18</v>
      </c>
      <c r="C20" s="14" t="s">
        <v>119</v>
      </c>
      <c r="D20" s="4" t="s">
        <v>120</v>
      </c>
      <c r="E20" s="14" t="s">
        <v>89</v>
      </c>
      <c r="F20" s="4" t="s">
        <v>121</v>
      </c>
      <c r="G20" s="12"/>
      <c r="H20" s="15"/>
      <c r="I20" s="16"/>
      <c r="J20" s="16"/>
      <c r="K20" s="4"/>
    </row>
    <row r="21" spans="1:11" x14ac:dyDescent="0.25">
      <c r="A21" s="3" t="s">
        <v>17</v>
      </c>
      <c r="B21" s="4" t="s">
        <v>18</v>
      </c>
      <c r="C21" s="14" t="s">
        <v>122</v>
      </c>
      <c r="D21" s="4" t="s">
        <v>123</v>
      </c>
      <c r="E21" s="14" t="s">
        <v>89</v>
      </c>
      <c r="F21" s="4" t="s">
        <v>124</v>
      </c>
      <c r="G21" s="12"/>
      <c r="H21" s="15"/>
      <c r="I21" s="16"/>
      <c r="J21" s="16"/>
      <c r="K21" s="4"/>
    </row>
    <row r="22" spans="1:11" x14ac:dyDescent="0.25">
      <c r="A22" s="3" t="s">
        <v>17</v>
      </c>
      <c r="B22" s="4" t="s">
        <v>18</v>
      </c>
      <c r="C22" s="14" t="s">
        <v>125</v>
      </c>
      <c r="D22" s="4" t="s">
        <v>126</v>
      </c>
      <c r="E22" s="14" t="s">
        <v>89</v>
      </c>
      <c r="F22" s="4" t="s">
        <v>127</v>
      </c>
      <c r="G22" s="12"/>
      <c r="H22" s="15"/>
      <c r="I22" s="16"/>
      <c r="J22" s="16"/>
      <c r="K22" s="4"/>
    </row>
    <row r="23" spans="1:11" ht="26" x14ac:dyDescent="0.25">
      <c r="A23" s="3" t="s">
        <v>17</v>
      </c>
      <c r="B23" s="4" t="s">
        <v>18</v>
      </c>
      <c r="C23" s="17" t="s">
        <v>128</v>
      </c>
      <c r="D23" s="18" t="s">
        <v>129</v>
      </c>
      <c r="E23" s="14" t="s">
        <v>89</v>
      </c>
      <c r="F23" s="18" t="s">
        <v>130</v>
      </c>
      <c r="G23" s="12"/>
      <c r="H23" s="15"/>
      <c r="I23" s="16"/>
      <c r="J23" s="16"/>
      <c r="K23" s="4" t="s">
        <v>131</v>
      </c>
    </row>
    <row r="24" spans="1:11" x14ac:dyDescent="0.25">
      <c r="A24" s="3" t="s">
        <v>19</v>
      </c>
      <c r="B24" s="4" t="s">
        <v>20</v>
      </c>
      <c r="C24" s="14" t="s">
        <v>132</v>
      </c>
      <c r="D24" s="4" t="s">
        <v>133</v>
      </c>
      <c r="E24" s="14" t="s">
        <v>89</v>
      </c>
      <c r="F24" s="4" t="s">
        <v>134</v>
      </c>
      <c r="G24" s="12"/>
      <c r="H24" s="15"/>
      <c r="I24" s="16"/>
      <c r="J24" s="16"/>
      <c r="K24" s="4" t="s">
        <v>135</v>
      </c>
    </row>
    <row r="25" spans="1:11" ht="26" x14ac:dyDescent="0.25">
      <c r="A25" s="3" t="s">
        <v>19</v>
      </c>
      <c r="B25" s="4" t="s">
        <v>20</v>
      </c>
      <c r="C25" s="14" t="s">
        <v>136</v>
      </c>
      <c r="D25" s="19" t="s">
        <v>137</v>
      </c>
      <c r="E25" s="14" t="s">
        <v>89</v>
      </c>
      <c r="F25" s="4" t="s">
        <v>138</v>
      </c>
      <c r="G25" s="12"/>
      <c r="H25" s="15"/>
      <c r="I25" s="16"/>
      <c r="J25" s="16"/>
      <c r="K25" s="4" t="s">
        <v>139</v>
      </c>
    </row>
    <row r="26" spans="1:11" x14ac:dyDescent="0.25">
      <c r="A26" s="3" t="s">
        <v>19</v>
      </c>
      <c r="B26" s="4" t="s">
        <v>20</v>
      </c>
      <c r="C26" s="14" t="s">
        <v>140</v>
      </c>
      <c r="D26" s="4" t="s">
        <v>141</v>
      </c>
      <c r="E26" s="14" t="s">
        <v>89</v>
      </c>
      <c r="F26" s="4" t="s">
        <v>142</v>
      </c>
      <c r="G26" s="12"/>
      <c r="H26" s="15"/>
      <c r="I26" s="16"/>
      <c r="J26" s="16"/>
      <c r="K26" s="4"/>
    </row>
    <row r="27" spans="1:11" ht="26" x14ac:dyDescent="0.25">
      <c r="A27" s="3" t="s">
        <v>19</v>
      </c>
      <c r="B27" s="4" t="s">
        <v>20</v>
      </c>
      <c r="C27" s="14" t="s">
        <v>143</v>
      </c>
      <c r="D27" s="4" t="s">
        <v>144</v>
      </c>
      <c r="E27" s="14" t="s">
        <v>89</v>
      </c>
      <c r="F27" s="4" t="s">
        <v>145</v>
      </c>
      <c r="G27" s="12"/>
      <c r="H27" s="15"/>
      <c r="I27" s="16"/>
      <c r="J27" s="16"/>
      <c r="K27" s="4" t="s">
        <v>146</v>
      </c>
    </row>
    <row r="28" spans="1:11" x14ac:dyDescent="0.25">
      <c r="A28" s="3" t="s">
        <v>19</v>
      </c>
      <c r="B28" s="4" t="s">
        <v>20</v>
      </c>
      <c r="C28" s="14" t="s">
        <v>147</v>
      </c>
      <c r="D28" s="4" t="s">
        <v>148</v>
      </c>
      <c r="E28" s="14" t="s">
        <v>89</v>
      </c>
      <c r="F28" s="4" t="s">
        <v>149</v>
      </c>
      <c r="G28" s="12"/>
      <c r="H28" s="15"/>
      <c r="I28" s="16"/>
      <c r="J28" s="16"/>
      <c r="K28" s="4"/>
    </row>
    <row r="29" spans="1:11" x14ac:dyDescent="0.25">
      <c r="A29" s="3" t="s">
        <v>19</v>
      </c>
      <c r="B29" s="4" t="s">
        <v>20</v>
      </c>
      <c r="C29" s="14" t="s">
        <v>150</v>
      </c>
      <c r="D29" s="4" t="s">
        <v>151</v>
      </c>
      <c r="E29" s="14" t="s">
        <v>89</v>
      </c>
      <c r="F29" s="4" t="s">
        <v>152</v>
      </c>
      <c r="G29" s="12"/>
      <c r="H29" s="15"/>
      <c r="I29" s="16"/>
      <c r="J29" s="16"/>
      <c r="K29" s="4"/>
    </row>
    <row r="30" spans="1:11" ht="26" x14ac:dyDescent="0.25">
      <c r="A30" s="3" t="s">
        <v>19</v>
      </c>
      <c r="B30" s="4" t="s">
        <v>20</v>
      </c>
      <c r="C30" s="17" t="s">
        <v>128</v>
      </c>
      <c r="D30" s="18" t="s">
        <v>153</v>
      </c>
      <c r="E30" s="14" t="s">
        <v>89</v>
      </c>
      <c r="F30" s="18" t="s">
        <v>154</v>
      </c>
      <c r="G30" s="12"/>
      <c r="H30" s="15"/>
      <c r="I30" s="16"/>
      <c r="J30" s="16"/>
      <c r="K30" s="4" t="s">
        <v>155</v>
      </c>
    </row>
    <row r="31" spans="1:11" x14ac:dyDescent="0.25">
      <c r="A31" s="3" t="s">
        <v>19</v>
      </c>
      <c r="B31" s="4" t="s">
        <v>20</v>
      </c>
      <c r="C31" s="17" t="s">
        <v>128</v>
      </c>
      <c r="D31" s="18" t="s">
        <v>156</v>
      </c>
      <c r="E31" s="14" t="s">
        <v>89</v>
      </c>
      <c r="F31" s="18" t="s">
        <v>157</v>
      </c>
      <c r="G31" s="12"/>
      <c r="H31" s="15"/>
      <c r="I31" s="16"/>
      <c r="J31" s="16"/>
      <c r="K31" s="4" t="s">
        <v>158</v>
      </c>
    </row>
    <row r="32" spans="1:11" x14ac:dyDescent="0.25">
      <c r="A32" s="3" t="s">
        <v>19</v>
      </c>
      <c r="B32" s="4" t="s">
        <v>20</v>
      </c>
      <c r="C32" s="17" t="s">
        <v>128</v>
      </c>
      <c r="D32" s="18" t="s">
        <v>159</v>
      </c>
      <c r="E32" s="14" t="s">
        <v>89</v>
      </c>
      <c r="F32" s="18" t="s">
        <v>160</v>
      </c>
      <c r="G32" s="12"/>
      <c r="H32" s="15"/>
      <c r="I32" s="16"/>
      <c r="J32" s="16"/>
      <c r="K32" s="4" t="s">
        <v>158</v>
      </c>
    </row>
    <row r="33" spans="1:11" x14ac:dyDescent="0.25">
      <c r="A33" s="3" t="s">
        <v>19</v>
      </c>
      <c r="B33" s="4" t="s">
        <v>20</v>
      </c>
      <c r="C33" s="17" t="s">
        <v>128</v>
      </c>
      <c r="D33" s="18" t="s">
        <v>161</v>
      </c>
      <c r="E33" s="14" t="s">
        <v>89</v>
      </c>
      <c r="F33" s="18" t="s">
        <v>162</v>
      </c>
      <c r="G33" s="12"/>
      <c r="H33" s="15"/>
      <c r="I33" s="16"/>
      <c r="J33" s="16"/>
      <c r="K33" s="4" t="s">
        <v>158</v>
      </c>
    </row>
    <row r="34" spans="1:11" x14ac:dyDescent="0.25">
      <c r="A34" s="3" t="s">
        <v>19</v>
      </c>
      <c r="B34" s="4" t="s">
        <v>20</v>
      </c>
      <c r="C34" s="17" t="s">
        <v>128</v>
      </c>
      <c r="D34" s="18" t="s">
        <v>163</v>
      </c>
      <c r="E34" s="14" t="s">
        <v>89</v>
      </c>
      <c r="F34" s="18" t="s">
        <v>164</v>
      </c>
      <c r="G34" s="12"/>
      <c r="H34" s="15"/>
      <c r="I34" s="16"/>
      <c r="J34" s="16"/>
      <c r="K34" s="4" t="s">
        <v>165</v>
      </c>
    </row>
    <row r="35" spans="1:11" ht="26" x14ac:dyDescent="0.25">
      <c r="A35" s="3" t="s">
        <v>19</v>
      </c>
      <c r="B35" s="4" t="s">
        <v>20</v>
      </c>
      <c r="C35" s="17" t="s">
        <v>128</v>
      </c>
      <c r="D35" s="18" t="s">
        <v>166</v>
      </c>
      <c r="E35" s="14" t="s">
        <v>89</v>
      </c>
      <c r="F35" s="18" t="s">
        <v>167</v>
      </c>
      <c r="G35" s="12"/>
      <c r="H35" s="15"/>
      <c r="I35" s="16"/>
      <c r="J35" s="16"/>
      <c r="K35" s="4" t="s">
        <v>168</v>
      </c>
    </row>
    <row r="36" spans="1:11" x14ac:dyDescent="0.25">
      <c r="A36" s="3" t="s">
        <v>19</v>
      </c>
      <c r="B36" s="4" t="s">
        <v>20</v>
      </c>
      <c r="C36" s="17" t="s">
        <v>128</v>
      </c>
      <c r="D36" s="18" t="s">
        <v>169</v>
      </c>
      <c r="E36" s="14" t="s">
        <v>89</v>
      </c>
      <c r="F36" s="18" t="s">
        <v>170</v>
      </c>
      <c r="G36" s="12"/>
      <c r="H36" s="15"/>
      <c r="I36" s="16"/>
      <c r="J36" s="16"/>
      <c r="K36" s="4" t="s">
        <v>158</v>
      </c>
    </row>
    <row r="37" spans="1:11" x14ac:dyDescent="0.25">
      <c r="A37" s="3" t="s">
        <v>22</v>
      </c>
      <c r="B37" s="4" t="s">
        <v>23</v>
      </c>
      <c r="C37" s="14" t="s">
        <v>171</v>
      </c>
      <c r="D37" s="4" t="s">
        <v>172</v>
      </c>
      <c r="E37" s="14" t="s">
        <v>89</v>
      </c>
      <c r="F37" s="4" t="s">
        <v>173</v>
      </c>
      <c r="G37" s="12"/>
      <c r="H37" s="15"/>
      <c r="I37" s="16"/>
      <c r="J37" s="16"/>
      <c r="K37" s="4" t="s">
        <v>174</v>
      </c>
    </row>
    <row r="38" spans="1:11" x14ac:dyDescent="0.25">
      <c r="A38" s="3" t="s">
        <v>22</v>
      </c>
      <c r="B38" s="4" t="s">
        <v>23</v>
      </c>
      <c r="C38" s="14" t="s">
        <v>175</v>
      </c>
      <c r="D38" s="4" t="s">
        <v>176</v>
      </c>
      <c r="E38" s="14" t="s">
        <v>89</v>
      </c>
      <c r="F38" s="4" t="s">
        <v>177</v>
      </c>
      <c r="G38" s="12"/>
      <c r="H38" s="15"/>
      <c r="I38" s="16"/>
      <c r="J38" s="16"/>
      <c r="K38" s="4"/>
    </row>
    <row r="39" spans="1:11" ht="26" x14ac:dyDescent="0.25">
      <c r="A39" s="3" t="s">
        <v>22</v>
      </c>
      <c r="B39" s="4" t="s">
        <v>23</v>
      </c>
      <c r="C39" s="14" t="s">
        <v>178</v>
      </c>
      <c r="D39" s="4" t="s">
        <v>179</v>
      </c>
      <c r="E39" s="14" t="s">
        <v>89</v>
      </c>
      <c r="F39" s="4" t="s">
        <v>180</v>
      </c>
      <c r="G39" s="12"/>
      <c r="H39" s="15"/>
      <c r="I39" s="16"/>
      <c r="J39" s="16"/>
      <c r="K39" s="4" t="s">
        <v>181</v>
      </c>
    </row>
    <row r="40" spans="1:11" x14ac:dyDescent="0.25">
      <c r="A40" s="3" t="s">
        <v>22</v>
      </c>
      <c r="B40" s="4" t="s">
        <v>23</v>
      </c>
      <c r="C40" s="14" t="s">
        <v>182</v>
      </c>
      <c r="D40" s="4" t="s">
        <v>183</v>
      </c>
      <c r="E40" s="14" t="s">
        <v>89</v>
      </c>
      <c r="F40" s="4" t="s">
        <v>184</v>
      </c>
      <c r="G40" s="12"/>
      <c r="H40" s="15"/>
      <c r="I40" s="16"/>
      <c r="J40" s="16"/>
      <c r="K40" s="4"/>
    </row>
    <row r="41" spans="1:11" x14ac:dyDescent="0.25">
      <c r="A41" s="3" t="s">
        <v>22</v>
      </c>
      <c r="B41" s="4" t="s">
        <v>23</v>
      </c>
      <c r="C41" s="14" t="s">
        <v>185</v>
      </c>
      <c r="D41" s="4" t="s">
        <v>186</v>
      </c>
      <c r="E41" s="14" t="s">
        <v>89</v>
      </c>
      <c r="F41" s="4" t="s">
        <v>187</v>
      </c>
      <c r="G41" s="12"/>
      <c r="H41" s="15"/>
      <c r="I41" s="16"/>
      <c r="J41" s="16"/>
      <c r="K41" s="4" t="s">
        <v>188</v>
      </c>
    </row>
    <row r="42" spans="1:11" x14ac:dyDescent="0.25">
      <c r="A42" s="3" t="s">
        <v>22</v>
      </c>
      <c r="B42" s="4" t="s">
        <v>23</v>
      </c>
      <c r="C42" s="17" t="s">
        <v>128</v>
      </c>
      <c r="D42" s="18" t="s">
        <v>189</v>
      </c>
      <c r="E42" s="14" t="s">
        <v>89</v>
      </c>
      <c r="F42" s="18" t="s">
        <v>190</v>
      </c>
      <c r="G42" s="12"/>
      <c r="H42" s="15"/>
      <c r="I42" s="16"/>
      <c r="J42" s="16"/>
      <c r="K42" s="4" t="s">
        <v>191</v>
      </c>
    </row>
    <row r="43" spans="1:11" ht="26" x14ac:dyDescent="0.25">
      <c r="A43" s="3" t="s">
        <v>25</v>
      </c>
      <c r="B43" s="4" t="s">
        <v>26</v>
      </c>
      <c r="C43" s="14" t="s">
        <v>192</v>
      </c>
      <c r="D43" s="4" t="s">
        <v>193</v>
      </c>
      <c r="E43" s="14" t="s">
        <v>89</v>
      </c>
      <c r="F43" s="4" t="s">
        <v>194</v>
      </c>
      <c r="G43" s="12"/>
      <c r="H43" s="15"/>
      <c r="I43" s="16"/>
      <c r="J43" s="16"/>
      <c r="K43" s="4" t="s">
        <v>195</v>
      </c>
    </row>
    <row r="44" spans="1:11" x14ac:dyDescent="0.25">
      <c r="A44" s="3" t="s">
        <v>25</v>
      </c>
      <c r="B44" s="4" t="s">
        <v>26</v>
      </c>
      <c r="C44" s="14" t="s">
        <v>196</v>
      </c>
      <c r="D44" s="4" t="s">
        <v>197</v>
      </c>
      <c r="E44" s="14" t="s">
        <v>89</v>
      </c>
      <c r="F44" s="4" t="s">
        <v>198</v>
      </c>
      <c r="G44" s="12"/>
      <c r="H44" s="15"/>
      <c r="I44" s="16"/>
      <c r="J44" s="16"/>
      <c r="K44" s="4"/>
    </row>
    <row r="45" spans="1:11" x14ac:dyDescent="0.25">
      <c r="A45" s="3" t="s">
        <v>25</v>
      </c>
      <c r="B45" s="4" t="s">
        <v>26</v>
      </c>
      <c r="C45" s="14" t="s">
        <v>199</v>
      </c>
      <c r="D45" s="4" t="s">
        <v>200</v>
      </c>
      <c r="E45" s="14" t="s">
        <v>89</v>
      </c>
      <c r="F45" s="4" t="s">
        <v>201</v>
      </c>
      <c r="G45" s="12"/>
      <c r="H45" s="15"/>
      <c r="I45" s="16"/>
      <c r="J45" s="16"/>
      <c r="K45" s="4" t="s">
        <v>202</v>
      </c>
    </row>
    <row r="46" spans="1:11" x14ac:dyDescent="0.25">
      <c r="A46" s="3" t="s">
        <v>25</v>
      </c>
      <c r="B46" s="4" t="s">
        <v>26</v>
      </c>
      <c r="C46" s="14" t="s">
        <v>203</v>
      </c>
      <c r="D46" s="4" t="s">
        <v>204</v>
      </c>
      <c r="E46" s="14" t="s">
        <v>89</v>
      </c>
      <c r="F46" s="4" t="s">
        <v>205</v>
      </c>
      <c r="G46" s="12"/>
      <c r="H46" s="15"/>
      <c r="I46" s="16"/>
      <c r="J46" s="16"/>
      <c r="K46" s="4" t="s">
        <v>206</v>
      </c>
    </row>
    <row r="47" spans="1:11" x14ac:dyDescent="0.25">
      <c r="A47" s="3" t="s">
        <v>28</v>
      </c>
      <c r="B47" s="4" t="s">
        <v>29</v>
      </c>
      <c r="C47" s="14" t="s">
        <v>207</v>
      </c>
      <c r="D47" s="4" t="s">
        <v>208</v>
      </c>
      <c r="E47" s="14" t="s">
        <v>89</v>
      </c>
      <c r="F47" s="4" t="s">
        <v>209</v>
      </c>
      <c r="G47" s="12"/>
      <c r="H47" s="15"/>
      <c r="I47" s="16"/>
      <c r="J47" s="16"/>
      <c r="K47" s="4"/>
    </row>
    <row r="48" spans="1:11" x14ac:dyDescent="0.25">
      <c r="A48" s="3" t="s">
        <v>28</v>
      </c>
      <c r="B48" s="4" t="s">
        <v>29</v>
      </c>
      <c r="C48" s="14" t="s">
        <v>210</v>
      </c>
      <c r="D48" s="4" t="s">
        <v>211</v>
      </c>
      <c r="E48" s="14" t="s">
        <v>89</v>
      </c>
      <c r="F48" s="4" t="s">
        <v>212</v>
      </c>
      <c r="G48" s="12"/>
      <c r="H48" s="15"/>
      <c r="I48" s="16"/>
      <c r="J48" s="16"/>
      <c r="K48" s="4" t="s">
        <v>213</v>
      </c>
    </row>
    <row r="49" spans="1:11" x14ac:dyDescent="0.25">
      <c r="A49" s="3" t="s">
        <v>28</v>
      </c>
      <c r="B49" s="4" t="s">
        <v>29</v>
      </c>
      <c r="C49" s="14" t="s">
        <v>214</v>
      </c>
      <c r="D49" s="4" t="s">
        <v>215</v>
      </c>
      <c r="E49" s="14" t="s">
        <v>89</v>
      </c>
      <c r="F49" s="4" t="s">
        <v>216</v>
      </c>
      <c r="G49" s="12"/>
      <c r="H49" s="15"/>
      <c r="I49" s="16"/>
      <c r="J49" s="16"/>
      <c r="K49" s="4"/>
    </row>
    <row r="50" spans="1:11" ht="26" x14ac:dyDescent="0.25">
      <c r="A50" s="3" t="s">
        <v>28</v>
      </c>
      <c r="B50" s="4" t="s">
        <v>29</v>
      </c>
      <c r="C50" s="14" t="s">
        <v>217</v>
      </c>
      <c r="D50" s="19" t="s">
        <v>218</v>
      </c>
      <c r="E50" s="14" t="s">
        <v>89</v>
      </c>
      <c r="F50" s="4" t="s">
        <v>219</v>
      </c>
      <c r="G50" s="12"/>
      <c r="H50" s="15"/>
      <c r="I50" s="16"/>
      <c r="J50" s="16"/>
      <c r="K50" s="4" t="s">
        <v>220</v>
      </c>
    </row>
    <row r="51" spans="1:11" x14ac:dyDescent="0.25">
      <c r="A51" s="3" t="s">
        <v>28</v>
      </c>
      <c r="B51" s="4" t="s">
        <v>29</v>
      </c>
      <c r="C51" s="14" t="s">
        <v>221</v>
      </c>
      <c r="D51" s="4" t="s">
        <v>222</v>
      </c>
      <c r="E51" s="14" t="s">
        <v>89</v>
      </c>
      <c r="F51" s="4" t="s">
        <v>223</v>
      </c>
      <c r="G51" s="12"/>
      <c r="H51" s="15"/>
      <c r="I51" s="16"/>
      <c r="J51" s="16"/>
      <c r="K51" s="4"/>
    </row>
    <row r="52" spans="1:11" ht="26" x14ac:dyDescent="0.25">
      <c r="A52" s="3" t="s">
        <v>28</v>
      </c>
      <c r="B52" s="4" t="s">
        <v>29</v>
      </c>
      <c r="C52" s="14" t="s">
        <v>224</v>
      </c>
      <c r="D52" s="19" t="s">
        <v>225</v>
      </c>
      <c r="E52" s="14" t="s">
        <v>89</v>
      </c>
      <c r="F52" s="4" t="s">
        <v>226</v>
      </c>
      <c r="G52" s="12"/>
      <c r="H52" s="15"/>
      <c r="I52" s="16"/>
      <c r="J52" s="16"/>
      <c r="K52" s="4" t="s">
        <v>227</v>
      </c>
    </row>
    <row r="53" spans="1:11" ht="26" x14ac:dyDescent="0.25">
      <c r="A53" s="3" t="s">
        <v>28</v>
      </c>
      <c r="B53" s="4" t="s">
        <v>29</v>
      </c>
      <c r="C53" s="14" t="s">
        <v>228</v>
      </c>
      <c r="D53" s="19" t="s">
        <v>229</v>
      </c>
      <c r="E53" s="14" t="s">
        <v>89</v>
      </c>
      <c r="F53" s="4" t="s">
        <v>230</v>
      </c>
      <c r="G53" s="12"/>
      <c r="H53" s="15"/>
      <c r="I53" s="16"/>
      <c r="J53" s="16"/>
      <c r="K53" s="4" t="s">
        <v>231</v>
      </c>
    </row>
    <row r="54" spans="1:11" ht="26" x14ac:dyDescent="0.25">
      <c r="A54" s="3" t="s">
        <v>31</v>
      </c>
      <c r="B54" s="4" t="s">
        <v>32</v>
      </c>
      <c r="C54" s="14" t="s">
        <v>232</v>
      </c>
      <c r="D54" s="4" t="s">
        <v>233</v>
      </c>
      <c r="E54" s="14" t="s">
        <v>89</v>
      </c>
      <c r="F54" s="4" t="s">
        <v>234</v>
      </c>
      <c r="G54" s="12"/>
      <c r="H54" s="15"/>
      <c r="I54" s="16"/>
      <c r="J54" s="16"/>
      <c r="K54" s="4"/>
    </row>
    <row r="55" spans="1:11" x14ac:dyDescent="0.25">
      <c r="A55" s="3" t="s">
        <v>31</v>
      </c>
      <c r="B55" s="4" t="s">
        <v>32</v>
      </c>
      <c r="C55" s="14" t="s">
        <v>235</v>
      </c>
      <c r="D55" s="4" t="s">
        <v>236</v>
      </c>
      <c r="E55" s="14" t="s">
        <v>89</v>
      </c>
      <c r="F55" s="4" t="s">
        <v>237</v>
      </c>
      <c r="G55" s="12"/>
      <c r="H55" s="15"/>
      <c r="I55" s="16"/>
      <c r="J55" s="16"/>
      <c r="K55" s="4"/>
    </row>
    <row r="56" spans="1:11" x14ac:dyDescent="0.25">
      <c r="A56" s="3" t="s">
        <v>31</v>
      </c>
      <c r="B56" s="4" t="s">
        <v>32</v>
      </c>
      <c r="C56" s="14" t="s">
        <v>238</v>
      </c>
      <c r="D56" s="4" t="s">
        <v>239</v>
      </c>
      <c r="E56" s="14" t="s">
        <v>89</v>
      </c>
      <c r="F56" s="4" t="s">
        <v>240</v>
      </c>
      <c r="G56" s="12"/>
      <c r="H56" s="15"/>
      <c r="I56" s="16"/>
      <c r="J56" s="16"/>
      <c r="K56" s="4"/>
    </row>
    <row r="57" spans="1:11" x14ac:dyDescent="0.25">
      <c r="A57" s="3" t="s">
        <v>33</v>
      </c>
      <c r="B57" s="4" t="s">
        <v>34</v>
      </c>
      <c r="C57" s="14" t="s">
        <v>241</v>
      </c>
      <c r="D57" s="4" t="s">
        <v>242</v>
      </c>
      <c r="E57" s="14" t="s">
        <v>89</v>
      </c>
      <c r="F57" s="4" t="s">
        <v>243</v>
      </c>
      <c r="G57" s="12"/>
      <c r="H57" s="15"/>
      <c r="I57" s="16"/>
      <c r="J57" s="16"/>
      <c r="K57" s="4" t="s">
        <v>244</v>
      </c>
    </row>
    <row r="58" spans="1:11" x14ac:dyDescent="0.25">
      <c r="A58" s="3" t="s">
        <v>33</v>
      </c>
      <c r="B58" s="4" t="s">
        <v>34</v>
      </c>
      <c r="C58" s="14" t="s">
        <v>245</v>
      </c>
      <c r="D58" s="4" t="s">
        <v>246</v>
      </c>
      <c r="E58" s="14" t="s">
        <v>89</v>
      </c>
      <c r="F58" s="4" t="s">
        <v>247</v>
      </c>
      <c r="G58" s="12"/>
      <c r="H58" s="15"/>
      <c r="I58" s="16"/>
      <c r="J58" s="16"/>
      <c r="K58" s="4"/>
    </row>
    <row r="59" spans="1:11" x14ac:dyDescent="0.25">
      <c r="A59" s="3" t="s">
        <v>33</v>
      </c>
      <c r="B59" s="4" t="s">
        <v>34</v>
      </c>
      <c r="C59" s="14" t="s">
        <v>248</v>
      </c>
      <c r="D59" s="4" t="s">
        <v>249</v>
      </c>
      <c r="E59" s="14" t="s">
        <v>89</v>
      </c>
      <c r="F59" s="4" t="s">
        <v>250</v>
      </c>
      <c r="G59" s="12"/>
      <c r="H59" s="15"/>
      <c r="I59" s="16"/>
      <c r="J59" s="16"/>
      <c r="K59" s="4" t="s">
        <v>251</v>
      </c>
    </row>
    <row r="60" spans="1:11" ht="26" x14ac:dyDescent="0.25">
      <c r="A60" s="3" t="s">
        <v>33</v>
      </c>
      <c r="B60" s="4" t="s">
        <v>34</v>
      </c>
      <c r="C60" s="14" t="s">
        <v>252</v>
      </c>
      <c r="D60" s="4" t="s">
        <v>253</v>
      </c>
      <c r="E60" s="14" t="s">
        <v>89</v>
      </c>
      <c r="F60" s="4" t="s">
        <v>254</v>
      </c>
      <c r="G60" s="12"/>
      <c r="H60" s="15"/>
      <c r="I60" s="16"/>
      <c r="J60" s="16"/>
      <c r="K60" s="4" t="s">
        <v>255</v>
      </c>
    </row>
    <row r="61" spans="1:11" x14ac:dyDescent="0.25">
      <c r="A61" s="3" t="s">
        <v>33</v>
      </c>
      <c r="B61" s="4" t="s">
        <v>34</v>
      </c>
      <c r="C61" s="17" t="s">
        <v>128</v>
      </c>
      <c r="D61" s="18" t="s">
        <v>256</v>
      </c>
      <c r="E61" s="14" t="s">
        <v>89</v>
      </c>
      <c r="F61" s="18" t="s">
        <v>257</v>
      </c>
      <c r="G61" s="12"/>
      <c r="H61" s="15"/>
      <c r="I61" s="16"/>
      <c r="J61" s="16"/>
      <c r="K61" s="4" t="s">
        <v>258</v>
      </c>
    </row>
    <row r="62" spans="1:11" ht="26" x14ac:dyDescent="0.25">
      <c r="A62" s="3" t="s">
        <v>36</v>
      </c>
      <c r="B62" s="4" t="s">
        <v>37</v>
      </c>
      <c r="C62" s="14" t="s">
        <v>70</v>
      </c>
      <c r="D62" s="4" t="s">
        <v>259</v>
      </c>
      <c r="E62" s="14" t="s">
        <v>37</v>
      </c>
      <c r="F62" s="4" t="s">
        <v>260</v>
      </c>
      <c r="G62" s="12"/>
      <c r="H62" s="15"/>
      <c r="I62" s="16"/>
      <c r="J62" s="16"/>
      <c r="K62" s="4" t="s">
        <v>261</v>
      </c>
    </row>
    <row r="63" spans="1:11" x14ac:dyDescent="0.25">
      <c r="A63" s="3" t="s">
        <v>36</v>
      </c>
      <c r="B63" s="4" t="s">
        <v>37</v>
      </c>
      <c r="C63" s="14" t="s">
        <v>70</v>
      </c>
      <c r="D63" s="4" t="s">
        <v>262</v>
      </c>
      <c r="E63" s="14" t="s">
        <v>37</v>
      </c>
      <c r="F63" s="4" t="s">
        <v>70</v>
      </c>
      <c r="G63" s="12"/>
      <c r="H63" s="15"/>
      <c r="I63" s="16"/>
      <c r="J63" s="16"/>
      <c r="K63" s="4"/>
    </row>
    <row r="64" spans="1:11" x14ac:dyDescent="0.25">
      <c r="A64" s="3" t="s">
        <v>39</v>
      </c>
      <c r="B64" s="4" t="s">
        <v>40</v>
      </c>
      <c r="C64" s="14" t="s">
        <v>70</v>
      </c>
      <c r="D64" s="4" t="s">
        <v>263</v>
      </c>
      <c r="E64" s="14" t="s">
        <v>264</v>
      </c>
      <c r="F64" s="4" t="s">
        <v>70</v>
      </c>
      <c r="G64" s="12"/>
      <c r="H64" s="15"/>
      <c r="I64" s="16"/>
      <c r="J64" s="16"/>
      <c r="K64" s="4" t="s">
        <v>265</v>
      </c>
    </row>
    <row r="65" spans="1:11" x14ac:dyDescent="0.25">
      <c r="A65" s="3" t="s">
        <v>39</v>
      </c>
      <c r="B65" s="4" t="s">
        <v>40</v>
      </c>
      <c r="C65" s="14" t="s">
        <v>70</v>
      </c>
      <c r="D65" s="4" t="s">
        <v>266</v>
      </c>
      <c r="E65" s="14" t="s">
        <v>264</v>
      </c>
      <c r="F65" s="4" t="s">
        <v>70</v>
      </c>
      <c r="G65" s="12"/>
      <c r="H65" s="15"/>
      <c r="I65" s="16"/>
      <c r="J65" s="16"/>
      <c r="K65" s="4" t="s">
        <v>267</v>
      </c>
    </row>
    <row r="66" spans="1:11" x14ac:dyDescent="0.25">
      <c r="A66" s="3" t="s">
        <v>39</v>
      </c>
      <c r="B66" s="4" t="s">
        <v>40</v>
      </c>
      <c r="C66" s="14" t="s">
        <v>70</v>
      </c>
      <c r="D66" s="4" t="s">
        <v>268</v>
      </c>
      <c r="E66" s="14" t="s">
        <v>264</v>
      </c>
      <c r="F66" s="4" t="s">
        <v>70</v>
      </c>
      <c r="G66" s="12"/>
      <c r="H66" s="15"/>
      <c r="I66" s="16"/>
      <c r="J66" s="16"/>
      <c r="K66" s="4"/>
    </row>
    <row r="67" spans="1:11" x14ac:dyDescent="0.25">
      <c r="A67" s="3" t="s">
        <v>42</v>
      </c>
      <c r="B67" s="4" t="s">
        <v>43</v>
      </c>
      <c r="C67" s="14" t="s">
        <v>70</v>
      </c>
      <c r="D67" s="4" t="s">
        <v>269</v>
      </c>
      <c r="E67" s="14" t="s">
        <v>270</v>
      </c>
      <c r="F67" s="4" t="s">
        <v>70</v>
      </c>
      <c r="G67" s="12"/>
      <c r="H67" s="15"/>
      <c r="I67" s="16"/>
      <c r="J67" s="16"/>
      <c r="K67" s="4"/>
    </row>
    <row r="68" spans="1:11" x14ac:dyDescent="0.25">
      <c r="A68" s="3" t="s">
        <v>42</v>
      </c>
      <c r="B68" s="4" t="s">
        <v>43</v>
      </c>
      <c r="C68" s="14" t="s">
        <v>70</v>
      </c>
      <c r="D68" s="4" t="s">
        <v>271</v>
      </c>
      <c r="E68" s="14" t="s">
        <v>270</v>
      </c>
      <c r="F68" s="4" t="s">
        <v>70</v>
      </c>
      <c r="G68" s="12"/>
      <c r="H68" s="15"/>
      <c r="I68" s="16"/>
      <c r="J68" s="16"/>
      <c r="K68" s="4"/>
    </row>
    <row r="69" spans="1:11" ht="26" x14ac:dyDescent="0.25">
      <c r="A69" s="3" t="s">
        <v>42</v>
      </c>
      <c r="B69" s="4" t="s">
        <v>43</v>
      </c>
      <c r="C69" s="14" t="s">
        <v>70</v>
      </c>
      <c r="D69" s="4" t="s">
        <v>272</v>
      </c>
      <c r="E69" s="14" t="s">
        <v>37</v>
      </c>
      <c r="F69" s="4" t="s">
        <v>70</v>
      </c>
      <c r="G69" s="12"/>
      <c r="H69" s="15"/>
      <c r="I69" s="16"/>
      <c r="J69" s="16"/>
      <c r="K69" s="4" t="s">
        <v>273</v>
      </c>
    </row>
    <row r="70" spans="1:11" ht="15.5" x14ac:dyDescent="0.4">
      <c r="A70" s="7"/>
      <c r="B70" s="7"/>
      <c r="C70" s="7"/>
      <c r="D70" s="20" t="s">
        <v>274</v>
      </c>
      <c r="E70" s="7"/>
      <c r="F70" s="7"/>
      <c r="G70" s="8">
        <f>SUM(G4:G69)</f>
        <v>0</v>
      </c>
      <c r="H70" s="7"/>
      <c r="I70" s="7"/>
      <c r="J70" s="7"/>
      <c r="K70" s="7"/>
    </row>
  </sheetData>
  <autoFilter ref="A3:K69" xr:uid="{00000000-0009-0000-0000-000001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功能点评估（全栈）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道远 吕</cp:lastModifiedBy>
  <dcterms:created xsi:type="dcterms:W3CDTF">2026-09-05T05:37:56Z</dcterms:created>
  <dcterms:modified xsi:type="dcterms:W3CDTF">2026-09-05T05:38:58Z</dcterms:modified>
</cp:coreProperties>
</file>