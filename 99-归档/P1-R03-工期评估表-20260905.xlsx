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功能点评估（全栈）" sheetId="2" state="visible" r:id="rId2"/>
  </sheets>
  <definedNames>
    <definedName name="_xlnm._FilterDatabase" localSheetId="1" hidden="1">'功能点评估（全栈）'!$A$3:$J$54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yyyy\-mm\-dd"/>
    <numFmt numFmtId="166" formatCode="0.0"/>
  </numFmts>
  <fonts count="28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color rgb="FF666666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微软雅黑"/>
      <charset val="134"/>
      <b val="1"/>
      <sz val="11"/>
    </font>
    <font>
      <name val="微软雅黑"/>
      <charset val="134"/>
      <color rgb="FF0000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8" borderId="5" applyAlignment="1">
      <alignment vertical="center"/>
    </xf>
    <xf numFmtId="0" fontId="18" fillId="9" borderId="6" applyAlignment="1">
      <alignment vertical="center"/>
    </xf>
    <xf numFmtId="0" fontId="19" fillId="9" borderId="5" applyAlignment="1">
      <alignment vertical="center"/>
    </xf>
    <xf numFmtId="0" fontId="20" fillId="10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center"/>
    </xf>
    <xf numFmtId="0" fontId="0" fillId="5" borderId="0" pivotButton="0" quotePrefix="0" xfId="0"/>
    <xf numFmtId="164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5" borderId="1" pivotButton="0" quotePrefix="0" xfId="0"/>
    <xf numFmtId="165" fontId="4" fillId="5" borderId="1" applyAlignment="1" pivotButton="0" quotePrefix="0" xfId="0">
      <alignment horizontal="center"/>
    </xf>
    <xf numFmtId="0" fontId="7" fillId="0" borderId="0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/>
    </xf>
    <xf numFmtId="0" fontId="2" fillId="0" borderId="0" pivotButton="0" quotePrefix="0" xfId="0"/>
    <xf numFmtId="0" fontId="8" fillId="0" borderId="1" applyAlignment="1" pivotButton="0" quotePrefix="0" xfId="0">
      <alignment horizontal="center"/>
    </xf>
    <xf numFmtId="0" fontId="6" fillId="0" borderId="0" pivotButton="0" quotePrefix="0" xfId="0"/>
    <xf numFmtId="166" fontId="4" fillId="6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6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tabSelected="1" workbookViewId="0">
      <selection activeCell="F27" sqref="F27"/>
    </sheetView>
  </sheetViews>
  <sheetFormatPr baseColWidth="8" defaultColWidth="9" defaultRowHeight="14"/>
  <cols>
    <col width="8" customWidth="1" min="1" max="1"/>
    <col width="20" customWidth="1" min="2" max="2"/>
    <col width="12" customWidth="1" min="3" max="5"/>
    <col width="42" customWidth="1" min="6" max="6"/>
  </cols>
  <sheetData>
    <row r="1" ht="20" customHeight="1">
      <c r="A1" s="1" t="inlineStr">
        <is>
          <t>汇总与折算（公式驱动，唯一维护处）</t>
        </is>
      </c>
    </row>
    <row r="2"/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人日小计</t>
        </is>
      </c>
      <c r="D3" s="3" t="inlineStr">
        <is>
          <t>开始日期</t>
        </is>
      </c>
      <c r="E3" s="3" t="inlineStr">
        <is>
          <t>结束日期</t>
        </is>
      </c>
      <c r="F3" s="3" t="inlineStr">
        <is>
          <t>关键风险/依赖</t>
        </is>
      </c>
    </row>
    <row r="4" ht="14.5" customHeight="1">
      <c r="A4" s="4" t="inlineStr">
        <is>
          <t>A1</t>
        </is>
      </c>
      <c r="B4" s="4" t="inlineStr">
        <is>
          <t>需求调研与PRD</t>
        </is>
      </c>
      <c r="C4" s="29">
        <f>SUMIF('功能点评估（全栈）'!$A$4:$A$53,$A4,'功能点评估（全栈）'!$F$4:$F$53)</f>
        <v/>
      </c>
      <c r="D4" s="30">
        <f>MIN('功能点评估（全栈）'!H4:H7)</f>
        <v/>
      </c>
      <c r="E4" s="30">
        <f>MAX('功能点评估（全栈）'!I4:I7)</f>
        <v/>
      </c>
      <c r="F4" s="5" t="inlineStr">
        <is>
          <t>#2 #3 材料未齐即启动，PRD 有返工风险</t>
        </is>
      </c>
    </row>
    <row r="5" ht="14.5" customHeight="1">
      <c r="A5" s="4" t="inlineStr">
        <is>
          <t>A2</t>
        </is>
      </c>
      <c r="B5" s="4" t="inlineStr">
        <is>
          <t>原型设计</t>
        </is>
      </c>
      <c r="C5" s="29">
        <f>SUMIF('功能点评估（全栈）'!$A$4:$A$53,$A5,'功能点评估（全栈）'!$F$4:$F$53)</f>
        <v/>
      </c>
      <c r="D5" s="30">
        <f>MIN('功能点评估（全栈）'!H8:H10)</f>
        <v/>
      </c>
      <c r="E5" s="30">
        <f>MAX('功能点评估（全栈）'!I8:I10)</f>
        <v/>
      </c>
      <c r="F5" s="5" t="n"/>
    </row>
    <row r="6" ht="14.5" customHeight="1">
      <c r="A6" s="4" t="inlineStr">
        <is>
          <t>B0</t>
        </is>
      </c>
      <c r="B6" s="4" t="inlineStr">
        <is>
          <t>公共技术底座</t>
        </is>
      </c>
      <c r="C6" s="29">
        <f>SUMIF('功能点评估（全栈）'!$A$4:$A$53,$A6,'功能点评估（全栈）'!$F$4:$F$53)</f>
        <v/>
      </c>
      <c r="D6" s="30">
        <f>MIN('功能点评估（全栈）'!H11:H13)</f>
        <v/>
      </c>
      <c r="E6" s="30">
        <f>MAX('功能点评估（全栈）'!I11:I13)</f>
        <v/>
      </c>
      <c r="F6" s="5" t="n"/>
    </row>
    <row r="7" ht="14.5" customHeight="1">
      <c r="A7" s="4" t="inlineStr">
        <is>
          <t>B1</t>
        </is>
      </c>
      <c r="B7" s="4" t="inlineStr">
        <is>
          <t>基础数据</t>
        </is>
      </c>
      <c r="C7" s="29">
        <f>SUMIF('功能点评估（全栈）'!$A$4:$A$53,$A7,'功能点评估（全栈）'!$F$4:$F$53)</f>
        <v/>
      </c>
      <c r="D7" s="30">
        <f>MIN('功能点评估（全栈）'!H14:H19)</f>
        <v/>
      </c>
      <c r="E7" s="30">
        <f>MAX('功能点评估（全栈）'!I14:I19)</f>
        <v/>
      </c>
      <c r="F7" s="5" t="n"/>
    </row>
    <row r="8" ht="14.5" customHeight="1">
      <c r="A8" s="4" t="inlineStr">
        <is>
          <t>B2</t>
        </is>
      </c>
      <c r="B8" s="4" t="inlineStr">
        <is>
          <t>项目管理中心</t>
        </is>
      </c>
      <c r="C8" s="29">
        <f>SUMIF('功能点评估（全栈）'!$A$4:$A$53,$A8,'功能点评估（全栈）'!$F$4:$F$53)</f>
        <v/>
      </c>
      <c r="D8" s="30">
        <f>MIN('功能点评估（全栈）'!H20:H23)</f>
        <v/>
      </c>
      <c r="E8" s="30">
        <f>MAX('功能点评估（全栈）'!I20:I23)</f>
        <v/>
      </c>
      <c r="F8" s="5" t="n"/>
    </row>
    <row r="9" ht="14.5" customHeight="1">
      <c r="A9" s="4" t="inlineStr">
        <is>
          <t>B3</t>
        </is>
      </c>
      <c r="B9" s="4" t="inlineStr">
        <is>
          <t>仓储作业 ★核心</t>
        </is>
      </c>
      <c r="C9" s="29">
        <f>SUMIF('功能点评估（全栈）'!$A$4:$A$53,$A9,'功能点评估（全栈）'!$F$4:$F$53)</f>
        <v/>
      </c>
      <c r="D9" s="30">
        <f>MIN('功能点评估（全栈）'!H24:H29)</f>
        <v/>
      </c>
      <c r="E9" s="30">
        <f>MAX('功能点评估（全栈）'!I24:I29)</f>
        <v/>
      </c>
      <c r="F9" s="5" t="inlineStr">
        <is>
          <t>组装为全新逻辑，PRD 冻结前估算偏差大</t>
        </is>
      </c>
    </row>
    <row r="10" ht="14.5" customHeight="1">
      <c r="A10" s="4" t="inlineStr">
        <is>
          <t>B4</t>
        </is>
      </c>
      <c r="B10" s="4" t="inlineStr">
        <is>
          <t>租赁管理</t>
        </is>
      </c>
      <c r="C10" s="29">
        <f>SUMIF('功能点评估（全栈）'!$A$4:$A$53,$A10,'功能点评估（全栈）'!$F$4:$F$53)</f>
        <v/>
      </c>
      <c r="D10" s="30">
        <f>MIN('功能点评估（全栈）'!H30:H33)</f>
        <v/>
      </c>
      <c r="E10" s="30">
        <f>MAX('功能点评估（全栈）'!I30:I33)</f>
        <v/>
      </c>
      <c r="F10" s="5" t="inlineStr">
        <is>
          <t>#1 计费规则未确认（US-14 暂不在基线）</t>
        </is>
      </c>
    </row>
    <row r="11" ht="14.5" customHeight="1">
      <c r="A11" s="4" t="inlineStr">
        <is>
          <t>B5</t>
        </is>
      </c>
      <c r="B11" s="4" t="inlineStr">
        <is>
          <t>订单管理</t>
        </is>
      </c>
      <c r="C11" s="29">
        <f>SUMIF('功能点评估（全栈）'!$A$4:$A$53,$A11,'功能点评估（全栈）'!$F$4:$F$53)</f>
        <v/>
      </c>
      <c r="D11" s="30">
        <f>MIN('功能点评估（全栈）'!H34:H37)</f>
        <v/>
      </c>
      <c r="E11" s="30">
        <f>MAX('功能点评估（全栈）'!I34:I37)</f>
        <v/>
      </c>
      <c r="F11" s="5" t="inlineStr">
        <is>
          <t>#6 路凯对接方式待定</t>
        </is>
      </c>
    </row>
    <row r="12" ht="14.5" customHeight="1">
      <c r="A12" s="4" t="inlineStr">
        <is>
          <t>B6</t>
        </is>
      </c>
      <c r="B12" s="4" t="inlineStr">
        <is>
          <t>财务协同</t>
        </is>
      </c>
      <c r="C12" s="29">
        <f>SUMIF('功能点评估（全栈）'!$A$4:$A$53,$A12,'功能点评估（全栈）'!$F$4:$F$53)</f>
        <v/>
      </c>
      <c r="D12" s="30">
        <f>MIN('功能点评估（全栈）'!H38:H42)</f>
        <v/>
      </c>
      <c r="E12" s="30">
        <f>MAX('功能点评估（全栈）'!I38:I42)</f>
        <v/>
      </c>
      <c r="F12" s="5" t="inlineStr">
        <is>
          <t>#5 单据/水单样例、#8 开票主体待提供</t>
        </is>
      </c>
    </row>
    <row r="13" ht="14.5" customHeight="1">
      <c r="A13" s="4" t="inlineStr">
        <is>
          <t>B7</t>
        </is>
      </c>
      <c r="B13" s="4" t="inlineStr">
        <is>
          <t>系统管理</t>
        </is>
      </c>
      <c r="C13" s="29">
        <f>SUMIF('功能点评估（全栈）'!$A$4:$A$53,$A13,'功能点评估（全栈）'!$F$4:$F$53)</f>
        <v/>
      </c>
      <c r="D13" s="30">
        <f>MIN('功能点评估（全栈）'!H43:H45)</f>
        <v/>
      </c>
      <c r="E13" s="30">
        <f>MAX('功能点评估（全栈）'!I43:I45)</f>
        <v/>
      </c>
      <c r="F13" s="5" t="n"/>
    </row>
    <row r="14" ht="14.5" customHeight="1">
      <c r="A14" s="4" t="inlineStr">
        <is>
          <t>C1</t>
        </is>
      </c>
      <c r="B14" s="4" t="inlineStr">
        <is>
          <t>测试</t>
        </is>
      </c>
      <c r="C14" s="29">
        <f>SUMIF('功能点评估（全栈）'!$A$4:$A$53,$A14,'功能点评估（全栈）'!$F$4:$F$53)</f>
        <v/>
      </c>
      <c r="D14" s="31">
        <f>MIN('功能点评估（全栈）'!H46:H47)</f>
        <v/>
      </c>
      <c r="E14" s="31">
        <f>MAX('功能点评估（全栈）'!I46:I47)</f>
        <v/>
      </c>
      <c r="F14" s="5" t="n"/>
    </row>
    <row r="15" ht="14.5" customHeight="1">
      <c r="A15" s="4" t="inlineStr">
        <is>
          <t>C2</t>
        </is>
      </c>
      <c r="B15" s="4" t="inlineStr">
        <is>
          <t>数据迁移</t>
        </is>
      </c>
      <c r="C15" s="29">
        <f>SUMIF('功能点评估（全栈）'!$A$4:$A$53,$A15,'功能点评估（全栈）'!$F$4:$F$53)</f>
        <v/>
      </c>
      <c r="D15" s="30">
        <f>MIN('功能点评估（全栈）'!H48:H50)</f>
        <v/>
      </c>
      <c r="E15" s="30">
        <f>MAX('功能点评估（全栈）'!I48:I50)</f>
        <v/>
      </c>
      <c r="F15" s="5" t="inlineStr">
        <is>
          <t>#4 主数据清单与格式待提供</t>
        </is>
      </c>
    </row>
    <row r="16" ht="14.5" customHeight="1">
      <c r="A16" s="4" t="inlineStr">
        <is>
          <t>C3</t>
        </is>
      </c>
      <c r="B16" s="4" t="inlineStr">
        <is>
          <t>上线部署</t>
        </is>
      </c>
      <c r="C16" s="29">
        <f>SUMIF('功能点评估（全栈）'!$A$4:$A$53,$A16,'功能点评估（全栈）'!$F$4:$F$53)</f>
        <v/>
      </c>
      <c r="D16" s="30">
        <f>MIN('功能点评估（全栈）'!H51:H53)</f>
        <v/>
      </c>
      <c r="E16" s="30">
        <f>MAX('功能点评估（全栈）'!I51:I53)</f>
        <v/>
      </c>
      <c r="F16" s="5" t="n"/>
    </row>
    <row r="17" ht="14.5" customHeight="1">
      <c r="A17" s="20" t="n"/>
      <c r="B17" s="15" t="inlineStr">
        <is>
          <t>合计 / 全跨度</t>
        </is>
      </c>
      <c r="C17" s="32">
        <f>SUM(C4:C16)</f>
        <v/>
      </c>
      <c r="D17" s="33">
        <f>MIN(D4:D16)</f>
        <v/>
      </c>
      <c r="E17" s="33">
        <f>MAX(E4:E16)</f>
        <v/>
      </c>
      <c r="F17" s="20" t="n"/>
    </row>
    <row r="18"/>
    <row r="19" ht="16.5" customHeight="1">
      <c r="A19" s="22" t="inlineStr">
        <is>
          <t>参数与折算</t>
        </is>
      </c>
    </row>
    <row r="20" ht="14.5" customHeight="1">
      <c r="A20" s="23" t="inlineStr">
        <is>
          <t>缓冲比例</t>
        </is>
      </c>
      <c r="C20" s="24" t="n"/>
      <c r="D20" s="25" t="inlineStr">
        <is>
          <t>建议 15%~20%，覆盖联调与管理裕度</t>
        </is>
      </c>
    </row>
    <row r="21" ht="14.5" customHeight="1">
      <c r="A21" s="23" t="inlineStr">
        <is>
          <t>投入人数</t>
        </is>
      </c>
      <c r="C21" s="24" t="n"/>
      <c r="D21" s="25" t="inlineStr">
        <is>
          <t>对应 P1-R01 第八节 #10，确认后填入</t>
        </is>
      </c>
    </row>
    <row r="22" ht="14.5" customHeight="1">
      <c r="A22" s="23" t="inlineStr">
        <is>
          <t>每月工作日</t>
        </is>
      </c>
      <c r="C22" s="26" t="n">
        <v>21</v>
      </c>
      <c r="D22" s="25" t="inlineStr">
        <is>
          <t>人月折算基准</t>
        </is>
      </c>
    </row>
    <row r="23" ht="14.5" customHeight="1">
      <c r="A23" s="27" t="inlineStr">
        <is>
          <t>含缓冲合计（人日）</t>
        </is>
      </c>
      <c r="C23" s="34">
        <f>IF(OR($C$20="",$C$17=0),"",$C$17*(1+$C$20))</f>
        <v/>
      </c>
    </row>
    <row r="24" ht="14.5" customHeight="1">
      <c r="A24" s="27" t="inlineStr">
        <is>
          <t>日历工期（月）</t>
        </is>
      </c>
      <c r="C24" s="34">
        <f>IF(OR($C$20="",$C$21="",$C$21=0,$C$23=""),"",$C$23/($C$22*$C$21))</f>
        <v/>
      </c>
    </row>
    <row r="25" ht="14.5" customHeight="1">
      <c r="A25" s="27" t="inlineStr">
        <is>
          <t>日历工期（周）</t>
        </is>
      </c>
      <c r="C25" s="34">
        <f>IF(OR($C$20="",$C$21="",$C$21=0,$C$23=""),"",$C$23/($C$22*$C$21)*4.33)</f>
        <v/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33" activePane="bottomLeft" state="frozen"/>
      <selection activeCell="A1" sqref="A1"/>
      <selection pane="bottomLeft" activeCell="H47" sqref="H47:I47"/>
    </sheetView>
  </sheetViews>
  <sheetFormatPr baseColWidth="8" defaultColWidth="9" defaultRowHeight="14"/>
  <cols>
    <col width="6" customWidth="1" min="1" max="1"/>
    <col width="13" customWidth="1" min="2" max="2"/>
    <col width="11" customWidth="1" min="3" max="3"/>
    <col width="38" customWidth="1" min="4" max="4"/>
    <col width="7" customWidth="1" min="5" max="6"/>
    <col width="9" customWidth="1" min="7" max="7"/>
    <col width="12" customWidth="1" min="8" max="9"/>
    <col width="34" customWidth="1" min="10" max="10"/>
  </cols>
  <sheetData>
    <row r="1" ht="20" customHeight="1">
      <c r="A1" s="1" t="inlineStr">
        <is>
          <t>P1-R03 工期评估表 · 功能点级（全栈口径）</t>
        </is>
      </c>
    </row>
    <row r="2" ht="30" customHeight="1">
      <c r="A2" s="2" t="inlineStr">
        <is>
          <t>口径：人日含概要设计+编码+自测；每功能点一行、不分前后端（类型=全栈），功能点 FP 码对应 P1-R01 第 5.1 节，本表为唯一评估口径（子任务级明细已于 2026-09-01 移除，留存于 99-归档备份）。黄格为待填项，开始/结束时间为排期结果（按人并行、自 2026-09-02 起、跳过双休与国庆）。</t>
        </is>
      </c>
    </row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功能点</t>
        </is>
      </c>
      <c r="D3" s="3" t="inlineStr">
        <is>
          <t>任务</t>
        </is>
      </c>
      <c r="E3" s="3" t="inlineStr">
        <is>
          <t>类型</t>
        </is>
      </c>
      <c r="F3" s="3" t="inlineStr">
        <is>
          <t>人日</t>
        </is>
      </c>
      <c r="G3" s="3" t="inlineStr">
        <is>
          <t>评估人</t>
        </is>
      </c>
      <c r="H3" s="3" t="inlineStr">
        <is>
          <t>开始时间</t>
        </is>
      </c>
      <c r="I3" s="3" t="inlineStr">
        <is>
          <t>结束时间</t>
        </is>
      </c>
      <c r="J3" s="3" t="inlineStr">
        <is>
          <t>备注（风险/依赖）</t>
        </is>
      </c>
    </row>
    <row r="4" ht="14.5" customHeight="1">
      <c r="A4" s="4" t="inlineStr">
        <is>
          <t>A1</t>
        </is>
      </c>
      <c r="B4" s="4" t="inlineStr">
        <is>
          <t>需求调研与PRD</t>
        </is>
      </c>
      <c r="C4" s="4" t="inlineStr">
        <is>
          <t>—</t>
        </is>
      </c>
      <c r="D4" s="5" t="inlineStr">
        <is>
          <t>吉客云/路凯页面与字段梳理</t>
        </is>
      </c>
      <c r="E4" s="4" t="inlineStr">
        <is>
          <t>调研</t>
        </is>
      </c>
      <c r="F4" s="35" t="n">
        <v>2</v>
      </c>
      <c r="G4" s="7" t="inlineStr">
        <is>
          <t>吕道远</t>
        </is>
      </c>
      <c r="H4" s="30" t="n">
        <v>46267</v>
      </c>
      <c r="I4" s="30" t="n">
        <v>46268</v>
      </c>
      <c r="J4" s="5" t="inlineStr">
        <is>
          <t>依赖 #2 #3：账号或全套截图到位后开展</t>
        </is>
      </c>
    </row>
    <row r="5" ht="14.5" customHeight="1">
      <c r="A5" s="9" t="inlineStr">
        <is>
          <t>A1</t>
        </is>
      </c>
      <c r="B5" s="9" t="inlineStr">
        <is>
          <t>需求调研与PRD</t>
        </is>
      </c>
      <c r="C5" s="9" t="inlineStr">
        <is>
          <t>—</t>
        </is>
      </c>
      <c r="D5" s="10" t="inlineStr">
        <is>
          <t>计费规则与单据流程确认</t>
        </is>
      </c>
      <c r="E5" s="9" t="inlineStr">
        <is>
          <t>调研</t>
        </is>
      </c>
      <c r="F5" s="35" t="n">
        <v>2</v>
      </c>
      <c r="G5" s="7" t="inlineStr">
        <is>
          <t>吕道远</t>
        </is>
      </c>
      <c r="H5" s="36" t="n">
        <v>46269</v>
      </c>
      <c r="I5" s="36" t="n">
        <v>46272</v>
      </c>
      <c r="J5" s="10" t="inlineStr">
        <is>
          <t>依赖 #1 #5：合同/报价单、单据样例</t>
        </is>
      </c>
    </row>
    <row r="6" ht="14.5" customHeight="1">
      <c r="A6" s="4" t="inlineStr">
        <is>
          <t>A1</t>
        </is>
      </c>
      <c r="B6" s="4" t="inlineStr">
        <is>
          <t>需求调研与PRD</t>
        </is>
      </c>
      <c r="C6" s="4" t="inlineStr">
        <is>
          <t>—</t>
        </is>
      </c>
      <c r="D6" s="5" t="inlineStr">
        <is>
          <t>PRD 编写（按模块分册）</t>
        </is>
      </c>
      <c r="E6" s="4" t="inlineStr">
        <is>
          <t>文档</t>
        </is>
      </c>
      <c r="F6" s="35" t="n">
        <v>1</v>
      </c>
      <c r="G6" s="7" t="inlineStr">
        <is>
          <t>吕道远</t>
        </is>
      </c>
      <c r="H6" s="30" t="n">
        <v>46273</v>
      </c>
      <c r="I6" s="30" t="n">
        <v>46273</v>
      </c>
      <c r="J6" s="5" t="n"/>
    </row>
    <row r="7" ht="14.5" customHeight="1">
      <c r="A7" s="9" t="inlineStr">
        <is>
          <t>A1</t>
        </is>
      </c>
      <c r="B7" s="9" t="inlineStr">
        <is>
          <t>需求调研与PRD</t>
        </is>
      </c>
      <c r="C7" s="9" t="inlineStr">
        <is>
          <t>—</t>
        </is>
      </c>
      <c r="D7" s="10" t="inlineStr">
        <is>
          <t>PRD 评审与修订</t>
        </is>
      </c>
      <c r="E7" s="9" t="inlineStr">
        <is>
          <t>文档</t>
        </is>
      </c>
      <c r="F7" s="35" t="n">
        <v>1</v>
      </c>
      <c r="G7" s="7" t="inlineStr">
        <is>
          <t>吕道远</t>
        </is>
      </c>
      <c r="H7" s="36" t="n">
        <v>46274</v>
      </c>
      <c r="I7" s="36" t="n">
        <v>46274</v>
      </c>
      <c r="J7" s="10" t="inlineStr">
        <is>
          <t>客户确认后方可冻结范围</t>
        </is>
      </c>
    </row>
    <row r="8" ht="14.5" customHeight="1">
      <c r="A8" s="4" t="inlineStr">
        <is>
          <t>A2</t>
        </is>
      </c>
      <c r="B8" s="4" t="inlineStr">
        <is>
          <t>原型设计</t>
        </is>
      </c>
      <c r="C8" s="4" t="inlineStr">
        <is>
          <t>—</t>
        </is>
      </c>
      <c r="D8" s="5" t="inlineStr">
        <is>
          <t>核心流程原型（仓储作业+订单协同）</t>
        </is>
      </c>
      <c r="E8" s="4" t="inlineStr">
        <is>
          <t>原型</t>
        </is>
      </c>
      <c r="F8" s="35" t="n">
        <v>1</v>
      </c>
      <c r="G8" s="7" t="inlineStr">
        <is>
          <t>吕道远</t>
        </is>
      </c>
      <c r="H8" s="30" t="n">
        <v>46275</v>
      </c>
      <c r="I8" s="30" t="n">
        <v>46275</v>
      </c>
      <c r="J8" s="5" t="n"/>
    </row>
    <row r="9" ht="14.5" customHeight="1">
      <c r="A9" s="9" t="inlineStr">
        <is>
          <t>A2</t>
        </is>
      </c>
      <c r="B9" s="9" t="inlineStr">
        <is>
          <t>原型设计</t>
        </is>
      </c>
      <c r="C9" s="9" t="inlineStr">
        <is>
          <t>—</t>
        </is>
      </c>
      <c r="D9" s="10" t="inlineStr">
        <is>
          <t>管理与报表原型（项目/财务/基础数据）</t>
        </is>
      </c>
      <c r="E9" s="9" t="inlineStr">
        <is>
          <t>原型</t>
        </is>
      </c>
      <c r="F9" s="35" t="n">
        <v>2</v>
      </c>
      <c r="G9" s="7" t="inlineStr">
        <is>
          <t>吕道远</t>
        </is>
      </c>
      <c r="H9" s="36" t="n">
        <v>46276</v>
      </c>
      <c r="I9" s="36" t="n">
        <v>46279</v>
      </c>
      <c r="J9" s="10" t="n"/>
    </row>
    <row r="10" ht="14.5" customHeight="1">
      <c r="A10" s="4" t="inlineStr">
        <is>
          <t>A2</t>
        </is>
      </c>
      <c r="B10" s="4" t="inlineStr">
        <is>
          <t>原型设计</t>
        </is>
      </c>
      <c r="C10" s="4" t="inlineStr">
        <is>
          <t>—</t>
        </is>
      </c>
      <c r="D10" s="5" t="inlineStr">
        <is>
          <t>原型评审与修订</t>
        </is>
      </c>
      <c r="E10" s="4" t="inlineStr">
        <is>
          <t>原型</t>
        </is>
      </c>
      <c r="F10" s="35" t="n">
        <v>1</v>
      </c>
      <c r="G10" s="7" t="inlineStr">
        <is>
          <t>吕道远</t>
        </is>
      </c>
      <c r="H10" s="30" t="n">
        <v>46280</v>
      </c>
      <c r="I10" s="30" t="n">
        <v>46280</v>
      </c>
      <c r="J10" s="5" t="n"/>
    </row>
    <row r="11" ht="29" customHeight="1">
      <c r="A11" s="9" t="inlineStr">
        <is>
          <t>B0</t>
        </is>
      </c>
      <c r="B11" s="9" t="inlineStr">
        <is>
          <t>公共技术底座</t>
        </is>
      </c>
      <c r="C11" s="9" t="inlineStr">
        <is>
          <t>—</t>
        </is>
      </c>
      <c r="D11" s="10" t="inlineStr">
        <is>
          <t>工程脚手架与 CI/CD</t>
        </is>
      </c>
      <c r="E11" s="9" t="inlineStr">
        <is>
          <t>全栈</t>
        </is>
      </c>
      <c r="F11" s="35" t="n">
        <v>1</v>
      </c>
      <c r="G11" s="7" t="inlineStr">
        <is>
          <t>陈金</t>
        </is>
      </c>
      <c r="H11" s="36" t="n">
        <v>46267</v>
      </c>
      <c r="I11" s="36" t="n">
        <v>46267</v>
      </c>
      <c r="J11" s="10" t="inlineStr">
        <is>
          <t>本表细化时新增，非 P1-R01 功能点，评估时确认保留</t>
        </is>
      </c>
    </row>
    <row r="12" ht="14.5" customHeight="1">
      <c r="A12" s="4" t="inlineStr">
        <is>
          <t>B0</t>
        </is>
      </c>
      <c r="B12" s="4" t="inlineStr">
        <is>
          <t>公共技术底座</t>
        </is>
      </c>
      <c r="C12" s="4" t="inlineStr">
        <is>
          <t>—</t>
        </is>
      </c>
      <c r="D12" s="5" t="inlineStr">
        <is>
          <t>登录认证与框架权限</t>
        </is>
      </c>
      <c r="E12" s="4" t="inlineStr">
        <is>
          <t>全栈</t>
        </is>
      </c>
      <c r="F12" s="35" t="n">
        <v>1</v>
      </c>
      <c r="G12" s="7" t="inlineStr">
        <is>
          <t>陈金</t>
        </is>
      </c>
      <c r="H12" s="30" t="n">
        <v>46268</v>
      </c>
      <c r="I12" s="30" t="n">
        <v>46268</v>
      </c>
      <c r="J12" s="5" t="n"/>
    </row>
    <row r="13" ht="14.5" customHeight="1">
      <c r="A13" s="9" t="inlineStr">
        <is>
          <t>B0</t>
        </is>
      </c>
      <c r="B13" s="9" t="inlineStr">
        <is>
          <t>公共技术底座</t>
        </is>
      </c>
      <c r="C13" s="9" t="inlineStr">
        <is>
          <t>—</t>
        </is>
      </c>
      <c r="D13" s="10" t="inlineStr">
        <is>
          <t>通用组件（单据/列表/导入导出）</t>
        </is>
      </c>
      <c r="E13" s="9" t="inlineStr">
        <is>
          <t>全栈</t>
        </is>
      </c>
      <c r="F13" s="35" t="n">
        <v>1</v>
      </c>
      <c r="G13" s="7" t="inlineStr">
        <is>
          <t>陈金</t>
        </is>
      </c>
      <c r="H13" s="36" t="n">
        <v>46269</v>
      </c>
      <c r="I13" s="36" t="n">
        <v>46269</v>
      </c>
      <c r="J13" s="10" t="n"/>
    </row>
    <row r="14" ht="14.5" customHeight="1">
      <c r="A14" s="4" t="inlineStr">
        <is>
          <t>B1</t>
        </is>
      </c>
      <c r="B14" s="4" t="inlineStr">
        <is>
          <t>基础数据</t>
        </is>
      </c>
      <c r="C14" s="4" t="inlineStr">
        <is>
          <t>FP1-01</t>
        </is>
      </c>
      <c r="D14" s="5" t="inlineStr">
        <is>
          <t>项目档案：页面 + 表结构与接口</t>
        </is>
      </c>
      <c r="E14" s="4" t="inlineStr">
        <is>
          <t>全栈</t>
        </is>
      </c>
      <c r="F14" s="35" t="n">
        <v>0.5</v>
      </c>
      <c r="G14" s="7" t="inlineStr">
        <is>
          <t>陈金</t>
        </is>
      </c>
      <c r="H14" s="30" t="n">
        <v>46272</v>
      </c>
      <c r="I14" s="30" t="n">
        <v>46272</v>
      </c>
      <c r="J14" s="5" t="n"/>
    </row>
    <row r="15" ht="14.5" customHeight="1">
      <c r="A15" s="9" t="inlineStr">
        <is>
          <t>B1</t>
        </is>
      </c>
      <c r="B15" s="9" t="inlineStr">
        <is>
          <t>基础数据</t>
        </is>
      </c>
      <c r="C15" s="9" t="inlineStr">
        <is>
          <t>FP1-02</t>
        </is>
      </c>
      <c r="D15" s="10" t="inlineStr">
        <is>
          <t>往来单位档案：页面 + 接口（含开票资料）</t>
        </is>
      </c>
      <c r="E15" s="9" t="inlineStr">
        <is>
          <t>全栈</t>
        </is>
      </c>
      <c r="F15" s="35" t="n">
        <v>0.5</v>
      </c>
      <c r="G15" s="7" t="inlineStr">
        <is>
          <t>陈金</t>
        </is>
      </c>
      <c r="H15" s="36" t="n">
        <v>46272</v>
      </c>
      <c r="I15" s="36" t="n">
        <v>46272</v>
      </c>
      <c r="J15" s="10" t="n"/>
    </row>
    <row r="16" ht="14.5" customHeight="1">
      <c r="A16" s="4" t="inlineStr">
        <is>
          <t>B1</t>
        </is>
      </c>
      <c r="B16" s="4" t="inlineStr">
        <is>
          <t>基础数据</t>
        </is>
      </c>
      <c r="C16" s="4" t="inlineStr">
        <is>
          <t>FP1-03</t>
        </is>
      </c>
      <c r="D16" s="5" t="inlineStr">
        <is>
          <t>包材档案：页面 + 接口</t>
        </is>
      </c>
      <c r="E16" s="4" t="inlineStr">
        <is>
          <t>全栈</t>
        </is>
      </c>
      <c r="F16" s="35" t="n">
        <v>0.5</v>
      </c>
      <c r="G16" s="7" t="inlineStr">
        <is>
          <t>陈金</t>
        </is>
      </c>
      <c r="H16" s="30" t="n">
        <v>46273</v>
      </c>
      <c r="I16" s="30" t="n">
        <v>46273</v>
      </c>
      <c r="J16" s="5" t="n"/>
    </row>
    <row r="17" ht="14.5" customHeight="1">
      <c r="A17" s="9" t="inlineStr">
        <is>
          <t>B1</t>
        </is>
      </c>
      <c r="B17" s="9" t="inlineStr">
        <is>
          <t>基础数据</t>
        </is>
      </c>
      <c r="C17" s="9" t="inlineStr">
        <is>
          <t>FP1-04</t>
        </is>
      </c>
      <c r="D17" s="10" t="inlineStr">
        <is>
          <t>零部件档案：页面 + 接口</t>
        </is>
      </c>
      <c r="E17" s="9" t="inlineStr">
        <is>
          <t>全栈</t>
        </is>
      </c>
      <c r="F17" s="35" t="n">
        <v>0.5</v>
      </c>
      <c r="G17" s="7" t="inlineStr">
        <is>
          <t>陈金</t>
        </is>
      </c>
      <c r="H17" s="36" t="n">
        <v>46273</v>
      </c>
      <c r="I17" s="36" t="n">
        <v>46273</v>
      </c>
      <c r="J17" s="10" t="n"/>
    </row>
    <row r="18" ht="14.5" customHeight="1">
      <c r="A18" s="4" t="inlineStr">
        <is>
          <t>B1</t>
        </is>
      </c>
      <c r="B18" s="4" t="inlineStr">
        <is>
          <t>基础数据</t>
        </is>
      </c>
      <c r="C18" s="4" t="inlineStr">
        <is>
          <t>FP1-05</t>
        </is>
      </c>
      <c r="D18" s="5" t="inlineStr">
        <is>
          <t>子母件 BOM：维护页 + 版本管理与配比校验</t>
        </is>
      </c>
      <c r="E18" s="4" t="inlineStr">
        <is>
          <t>全栈</t>
        </is>
      </c>
      <c r="F18" s="35" t="n">
        <v>0.5</v>
      </c>
      <c r="G18" s="7" t="inlineStr">
        <is>
          <t>陈金</t>
        </is>
      </c>
      <c r="H18" s="30" t="n">
        <v>46274</v>
      </c>
      <c r="I18" s="30" t="n">
        <v>46274</v>
      </c>
      <c r="J18" s="5" t="inlineStr">
        <is>
          <t>配比错误需拦截</t>
        </is>
      </c>
    </row>
    <row r="19" ht="14.5" customHeight="1">
      <c r="A19" s="9" t="inlineStr">
        <is>
          <t>B1</t>
        </is>
      </c>
      <c r="B19" s="9" t="inlineStr">
        <is>
          <t>基础数据</t>
        </is>
      </c>
      <c r="C19" s="9" t="inlineStr">
        <is>
          <t>FP1-06</t>
        </is>
      </c>
      <c r="D19" s="10" t="inlineStr">
        <is>
          <t>库位档案：页面 + 接口（仓/区/位三级）</t>
        </is>
      </c>
      <c r="E19" s="9" t="inlineStr">
        <is>
          <t>全栈</t>
        </is>
      </c>
      <c r="F19" s="35" t="n">
        <v>0.5</v>
      </c>
      <c r="G19" s="7" t="inlineStr">
        <is>
          <t>陈金</t>
        </is>
      </c>
      <c r="H19" s="36" t="n">
        <v>46274</v>
      </c>
      <c r="I19" s="36" t="n">
        <v>46274</v>
      </c>
      <c r="J19" s="10" t="n"/>
    </row>
    <row r="20" ht="14.5" customHeight="1">
      <c r="A20" s="4" t="inlineStr">
        <is>
          <t>B2</t>
        </is>
      </c>
      <c r="B20" s="4" t="inlineStr">
        <is>
          <t>项目管理中心</t>
        </is>
      </c>
      <c r="C20" s="4" t="inlineStr">
        <is>
          <t>FP2-01</t>
        </is>
      </c>
      <c r="D20" s="5" t="inlineStr">
        <is>
          <t>项目编码规则：规则引擎 + 配置页</t>
        </is>
      </c>
      <c r="E20" s="4" t="inlineStr">
        <is>
          <t>全栈</t>
        </is>
      </c>
      <c r="F20" s="35" t="n">
        <v>0.5</v>
      </c>
      <c r="G20" s="7" t="inlineStr">
        <is>
          <t>陈金</t>
        </is>
      </c>
      <c r="H20" s="30" t="n">
        <v>46275</v>
      </c>
      <c r="I20" s="30" t="n">
        <v>46275</v>
      </c>
      <c r="J20" s="5" t="n"/>
    </row>
    <row r="21" ht="14.5" customHeight="1">
      <c r="A21" s="9" t="inlineStr">
        <is>
          <t>B2</t>
        </is>
      </c>
      <c r="B21" s="9" t="inlineStr">
        <is>
          <t>项目管理中心</t>
        </is>
      </c>
      <c r="C21" s="9" t="inlineStr">
        <is>
          <t>FP2-02</t>
        </is>
      </c>
      <c r="D21" s="10" t="inlineStr">
        <is>
          <t>上下游绑定：关系维护页 + 模型接口</t>
        </is>
      </c>
      <c r="E21" s="9" t="inlineStr">
        <is>
          <t>全栈</t>
        </is>
      </c>
      <c r="F21" s="35" t="n">
        <v>0.5</v>
      </c>
      <c r="G21" s="7" t="inlineStr">
        <is>
          <t>陈金</t>
        </is>
      </c>
      <c r="H21" s="36" t="n">
        <v>46275</v>
      </c>
      <c r="I21" s="36" t="n">
        <v>46275</v>
      </c>
      <c r="J21" s="10" t="n"/>
    </row>
    <row r="22" ht="14.5" customHeight="1">
      <c r="A22" s="4" t="inlineStr">
        <is>
          <t>B2</t>
        </is>
      </c>
      <c r="B22" s="4" t="inlineStr">
        <is>
          <t>项目管理中心</t>
        </is>
      </c>
      <c r="C22" s="4" t="inlineStr">
        <is>
          <t>FP2-03</t>
        </is>
      </c>
      <c r="D22" s="5" t="inlineStr">
        <is>
          <t>项目看板：图表页 + 统计接口</t>
        </is>
      </c>
      <c r="E22" s="4" t="inlineStr">
        <is>
          <t>全栈</t>
        </is>
      </c>
      <c r="F22" s="35" t="n">
        <v>1</v>
      </c>
      <c r="G22" s="7" t="inlineStr">
        <is>
          <t>陈金</t>
        </is>
      </c>
      <c r="H22" s="30" t="n">
        <v>46276</v>
      </c>
      <c r="I22" s="30" t="n">
        <v>46276</v>
      </c>
      <c r="J22" s="5" t="n"/>
    </row>
    <row r="23" ht="14.5" customHeight="1">
      <c r="A23" s="9" t="inlineStr">
        <is>
          <t>B2</t>
        </is>
      </c>
      <c r="B23" s="9" t="inlineStr">
        <is>
          <t>项目管理中心</t>
        </is>
      </c>
      <c r="C23" s="9" t="inlineStr">
        <is>
          <t>FP2-04</t>
        </is>
      </c>
      <c r="D23" s="10" t="inlineStr">
        <is>
          <t>明细下钻：下钻交互 + 穿透查询</t>
        </is>
      </c>
      <c r="E23" s="9" t="inlineStr">
        <is>
          <t>全栈</t>
        </is>
      </c>
      <c r="F23" s="35" t="n">
        <v>1</v>
      </c>
      <c r="G23" s="7" t="inlineStr">
        <is>
          <t>陈金</t>
        </is>
      </c>
      <c r="H23" s="36" t="n">
        <v>46279</v>
      </c>
      <c r="I23" s="36" t="n">
        <v>46279</v>
      </c>
      <c r="J23" s="10" t="n"/>
    </row>
    <row r="24" ht="14.5" customHeight="1">
      <c r="A24" s="4" t="inlineStr">
        <is>
          <t>B3</t>
        </is>
      </c>
      <c r="B24" s="4" t="inlineStr">
        <is>
          <t>仓储作业 ★核心</t>
        </is>
      </c>
      <c r="C24" s="4" t="inlineStr">
        <is>
          <t>FP3-01</t>
        </is>
      </c>
      <c r="D24" s="5" t="inlineStr">
        <is>
          <t>采购入库单：录单 + 入库过账与库存更新</t>
        </is>
      </c>
      <c r="E24" s="4" t="inlineStr">
        <is>
          <t>全栈</t>
        </is>
      </c>
      <c r="F24" s="35" t="n">
        <v>1.5</v>
      </c>
      <c r="G24" s="7" t="inlineStr">
        <is>
          <t>陈金</t>
        </is>
      </c>
      <c r="H24" s="30" t="n">
        <v>46280</v>
      </c>
      <c r="I24" s="30" t="n">
        <v>46281</v>
      </c>
      <c r="J24" s="5" t="n"/>
    </row>
    <row r="25" ht="29" customHeight="1">
      <c r="A25" s="9" t="inlineStr">
        <is>
          <t>B3</t>
        </is>
      </c>
      <c r="B25" s="9" t="inlineStr">
        <is>
          <t>仓储作业 ★核心</t>
        </is>
      </c>
      <c r="C25" s="9" t="inlineStr">
        <is>
          <t>FP3-02 ★新增</t>
        </is>
      </c>
      <c r="D25" s="10" t="inlineStr">
        <is>
          <t>小组装单：录单 + 库存转换引擎 + 拆件回退</t>
        </is>
      </c>
      <c r="E25" s="9" t="inlineStr">
        <is>
          <t>全栈</t>
        </is>
      </c>
      <c r="F25" s="35" t="n">
        <v>1.5</v>
      </c>
      <c r="G25" s="7" t="inlineStr">
        <is>
          <t>陈金</t>
        </is>
      </c>
      <c r="H25" s="36" t="n">
        <v>46281</v>
      </c>
      <c r="I25" s="36" t="n">
        <v>46282</v>
      </c>
      <c r="J25" s="10" t="inlineStr">
        <is>
          <t>新逻辑：组装动作首次入系统；拆件回退应对日计划频繁变更</t>
        </is>
      </c>
    </row>
    <row r="26" ht="14.5" customHeight="1">
      <c r="A26" s="4" t="inlineStr">
        <is>
          <t>B3</t>
        </is>
      </c>
      <c r="B26" s="4" t="inlineStr">
        <is>
          <t>仓储作业 ★核心</t>
        </is>
      </c>
      <c r="C26" s="4" t="inlineStr">
        <is>
          <t>FP3-03</t>
        </is>
      </c>
      <c r="D26" s="5" t="inlineStr">
        <is>
          <t>组合出库单：录单 + 出库过账与台账联动</t>
        </is>
      </c>
      <c r="E26" s="4" t="inlineStr">
        <is>
          <t>全栈</t>
        </is>
      </c>
      <c r="F26" s="35" t="n">
        <v>1.5</v>
      </c>
      <c r="G26" s="7" t="inlineStr">
        <is>
          <t>陈金</t>
        </is>
      </c>
      <c r="H26" s="30" t="n">
        <v>46283</v>
      </c>
      <c r="I26" s="30" t="n">
        <v>46286</v>
      </c>
      <c r="J26" s="5" t="n"/>
    </row>
    <row r="27" ht="14.5" customHeight="1">
      <c r="A27" s="9" t="inlineStr">
        <is>
          <t>B3</t>
        </is>
      </c>
      <c r="B27" s="9" t="inlineStr">
        <is>
          <t>仓储作业 ★核心</t>
        </is>
      </c>
      <c r="C27" s="9" t="inlineStr">
        <is>
          <t>FP3-04</t>
        </is>
      </c>
      <c r="D27" s="10" t="inlineStr">
        <is>
          <t>退租入库验收单：录单 + 按零件缺损核对</t>
        </is>
      </c>
      <c r="E27" s="9" t="inlineStr">
        <is>
          <t>全栈</t>
        </is>
      </c>
      <c r="F27" s="35" t="n">
        <v>1.5</v>
      </c>
      <c r="G27" s="7" t="inlineStr">
        <is>
          <t>陈金</t>
        </is>
      </c>
      <c r="H27" s="36" t="n">
        <v>46286</v>
      </c>
      <c r="I27" s="36" t="n">
        <v>46287</v>
      </c>
      <c r="J27" s="10" t="n"/>
    </row>
    <row r="28" ht="14.5" customHeight="1">
      <c r="A28" s="4" t="inlineStr">
        <is>
          <t>B3</t>
        </is>
      </c>
      <c r="B28" s="4" t="inlineStr">
        <is>
          <t>仓储作业 ★核心</t>
        </is>
      </c>
      <c r="C28" s="4" t="inlineStr">
        <is>
          <t>FP3-05</t>
        </is>
      </c>
      <c r="D28" s="5" t="inlineStr">
        <is>
          <t>盘点单：双口径任务页 + 盘盈亏过账</t>
        </is>
      </c>
      <c r="E28" s="4" t="inlineStr">
        <is>
          <t>全栈</t>
        </is>
      </c>
      <c r="F28" s="35" t="n">
        <v>1.5</v>
      </c>
      <c r="G28" s="7" t="inlineStr">
        <is>
          <t>陈金</t>
        </is>
      </c>
      <c r="H28" s="30" t="n">
        <v>46288</v>
      </c>
      <c r="I28" s="30" t="n">
        <v>46289</v>
      </c>
      <c r="J28" s="5" t="n"/>
    </row>
    <row r="29" ht="14.5" customHeight="1">
      <c r="A29" s="9" t="inlineStr">
        <is>
          <t>B3</t>
        </is>
      </c>
      <c r="B29" s="9" t="inlineStr">
        <is>
          <t>仓储作业 ★核心</t>
        </is>
      </c>
      <c r="C29" s="9" t="inlineStr">
        <is>
          <t>FP3-06</t>
        </is>
      </c>
      <c r="D29" s="10" t="inlineStr">
        <is>
          <t>库存查询：双视角查询页 + 接口</t>
        </is>
      </c>
      <c r="E29" s="9" t="inlineStr">
        <is>
          <t>全栈</t>
        </is>
      </c>
      <c r="F29" s="35" t="n">
        <v>1.5</v>
      </c>
      <c r="G29" s="7" t="inlineStr">
        <is>
          <t>陈金</t>
        </is>
      </c>
      <c r="H29" s="36" t="n">
        <v>46289</v>
      </c>
      <c r="I29" s="36" t="n">
        <v>46290</v>
      </c>
      <c r="J29" s="10" t="n"/>
    </row>
    <row r="30" ht="14.5" customHeight="1">
      <c r="A30" s="4" t="inlineStr">
        <is>
          <t>B4</t>
        </is>
      </c>
      <c r="B30" s="4" t="inlineStr">
        <is>
          <t>租赁管理</t>
        </is>
      </c>
      <c r="C30" s="4" t="inlineStr">
        <is>
          <t>FP4-01</t>
        </is>
      </c>
      <c r="D30" s="5" t="inlineStr">
        <is>
          <t>租出台账：页面 + 接口</t>
        </is>
      </c>
      <c r="E30" s="4" t="inlineStr">
        <is>
          <t>全栈</t>
        </is>
      </c>
      <c r="F30" s="35" t="n">
        <v>0.5</v>
      </c>
      <c r="G30" s="7" t="inlineStr">
        <is>
          <t>陈金</t>
        </is>
      </c>
      <c r="H30" s="30" t="n">
        <v>46293</v>
      </c>
      <c r="I30" s="30" t="n">
        <v>46293</v>
      </c>
      <c r="J30" s="5" t="n"/>
    </row>
    <row r="31" ht="14.5" customHeight="1">
      <c r="A31" s="9" t="inlineStr">
        <is>
          <t>B4</t>
        </is>
      </c>
      <c r="B31" s="9" t="inlineStr">
        <is>
          <t>租赁管理</t>
        </is>
      </c>
      <c r="C31" s="9" t="inlineStr">
        <is>
          <t>FP4-02</t>
        </is>
      </c>
      <c r="D31" s="10" t="inlineStr">
        <is>
          <t>在租资产跟踪：视图 + 统计接口</t>
        </is>
      </c>
      <c r="E31" s="9" t="inlineStr">
        <is>
          <t>全栈</t>
        </is>
      </c>
      <c r="F31" s="35" t="n">
        <v>0.5</v>
      </c>
      <c r="G31" s="7" t="inlineStr">
        <is>
          <t>陈金</t>
        </is>
      </c>
      <c r="H31" s="36" t="n">
        <v>46293</v>
      </c>
      <c r="I31" s="36" t="n">
        <v>46293</v>
      </c>
      <c r="J31" s="10" t="n"/>
    </row>
    <row r="32" ht="14.5" customHeight="1">
      <c r="A32" s="4" t="inlineStr">
        <is>
          <t>B4</t>
        </is>
      </c>
      <c r="B32" s="4" t="inlineStr">
        <is>
          <t>租赁管理</t>
        </is>
      </c>
      <c r="C32" s="4" t="inlineStr">
        <is>
          <t>FP4-03</t>
        </is>
      </c>
      <c r="D32" s="5" t="inlineStr">
        <is>
          <t>循环状态管理：状态机 + 操作页</t>
        </is>
      </c>
      <c r="E32" s="4" t="inlineStr">
        <is>
          <t>全栈</t>
        </is>
      </c>
      <c r="F32" s="35" t="n">
        <v>0.5</v>
      </c>
      <c r="G32" s="7" t="inlineStr">
        <is>
          <t>陈金</t>
        </is>
      </c>
      <c r="H32" s="30" t="n">
        <v>46294</v>
      </c>
      <c r="I32" s="30" t="n">
        <v>46294</v>
      </c>
      <c r="J32" s="5" t="n"/>
    </row>
    <row r="33" ht="29" customHeight="1">
      <c r="A33" s="9" t="inlineStr">
        <is>
          <t>B4</t>
        </is>
      </c>
      <c r="B33" s="9" t="inlineStr">
        <is>
          <t>租赁管理</t>
        </is>
      </c>
      <c r="C33" s="9" t="inlineStr">
        <is>
          <t>FP4-04</t>
        </is>
      </c>
      <c r="D33" s="10" t="inlineStr">
        <is>
          <t>缺损与赔偿：登记页 + 赔偿应收联动</t>
        </is>
      </c>
      <c r="E33" s="9" t="inlineStr">
        <is>
          <t>全栈</t>
        </is>
      </c>
      <c r="F33" s="35" t="n">
        <v>0.5</v>
      </c>
      <c r="G33" s="7" t="inlineStr">
        <is>
          <t>陈金</t>
        </is>
      </c>
      <c r="H33" s="36" t="n">
        <v>46294</v>
      </c>
      <c r="I33" s="36" t="n">
        <v>46294</v>
      </c>
      <c r="J33" s="10" t="inlineStr">
        <is>
          <t>#1 计费规则未确认；租金自动计费（US-14）暂不在基线</t>
        </is>
      </c>
    </row>
    <row r="34" ht="14.5" customHeight="1">
      <c r="A34" s="4" t="inlineStr">
        <is>
          <t>B5</t>
        </is>
      </c>
      <c r="B34" s="4" t="inlineStr">
        <is>
          <t>订单协同</t>
        </is>
      </c>
      <c r="C34" s="4" t="inlineStr">
        <is>
          <t>FP5-01</t>
        </is>
      </c>
      <c r="D34" s="5" t="inlineStr">
        <is>
          <t>客户下单入口：客户端下单页 + 接口校验</t>
        </is>
      </c>
      <c r="E34" s="4" t="inlineStr">
        <is>
          <t>全栈</t>
        </is>
      </c>
      <c r="F34" s="35" t="n">
        <v>1</v>
      </c>
      <c r="G34" s="7" t="inlineStr">
        <is>
          <t>陈金</t>
        </is>
      </c>
      <c r="H34" s="30" t="n">
        <v>46295</v>
      </c>
      <c r="I34" s="30" t="n">
        <v>46295</v>
      </c>
      <c r="J34" s="5" t="inlineStr">
        <is>
          <t>替代客户在路凯下单</t>
        </is>
      </c>
    </row>
    <row r="35" ht="14.5" customHeight="1">
      <c r="A35" s="9" t="inlineStr">
        <is>
          <t>B5</t>
        </is>
      </c>
      <c r="B35" s="9" t="inlineStr">
        <is>
          <t>订单协同</t>
        </is>
      </c>
      <c r="C35" s="9" t="inlineStr">
        <is>
          <t>FP5-02</t>
        </is>
      </c>
      <c r="D35" s="10" t="inlineStr">
        <is>
          <t>订单审核：工作台 + 审核流转</t>
        </is>
      </c>
      <c r="E35" s="9" t="inlineStr">
        <is>
          <t>全栈</t>
        </is>
      </c>
      <c r="F35" s="35" t="n">
        <v>1</v>
      </c>
      <c r="G35" s="7" t="inlineStr">
        <is>
          <t>陈金</t>
        </is>
      </c>
      <c r="H35" s="36" t="n">
        <v>46303</v>
      </c>
      <c r="I35" s="36" t="n">
        <v>46303</v>
      </c>
      <c r="J35" s="10" t="n"/>
    </row>
    <row r="36" ht="14.5" customHeight="1">
      <c r="A36" s="4" t="inlineStr">
        <is>
          <t>B5</t>
        </is>
      </c>
      <c r="B36" s="4" t="inlineStr">
        <is>
          <t>订单协同</t>
        </is>
      </c>
      <c r="C36" s="4" t="inlineStr">
        <is>
          <t>FP5-03</t>
        </is>
      </c>
      <c r="D36" s="5" t="inlineStr">
        <is>
          <t>对路凯订单下发：下发通道 + 记录重发</t>
        </is>
      </c>
      <c r="E36" s="4" t="inlineStr">
        <is>
          <t>全栈</t>
        </is>
      </c>
      <c r="F36" s="35" t="n">
        <v>1</v>
      </c>
      <c r="G36" s="7" t="inlineStr">
        <is>
          <t>陈金</t>
        </is>
      </c>
      <c r="H36" s="30" t="n">
        <v>46304</v>
      </c>
      <c r="I36" s="30" t="n">
        <v>46304</v>
      </c>
      <c r="J36" s="5" t="inlineStr">
        <is>
          <t>#6 对接方式待定，评估按导出/接口两档</t>
        </is>
      </c>
    </row>
    <row r="37" ht="14.5" customHeight="1">
      <c r="A37" s="9" t="inlineStr">
        <is>
          <t>B5</t>
        </is>
      </c>
      <c r="B37" s="9" t="inlineStr">
        <is>
          <t>订单协同</t>
        </is>
      </c>
      <c r="C37" s="9" t="inlineStr">
        <is>
          <t>FP5-04</t>
        </is>
      </c>
      <c r="D37" s="10" t="inlineStr">
        <is>
          <t>结算数据导出：数据生成 + 导出操作</t>
        </is>
      </c>
      <c r="E37" s="9" t="inlineStr">
        <is>
          <t>全栈</t>
        </is>
      </c>
      <c r="F37" s="35" t="n">
        <v>1</v>
      </c>
      <c r="G37" s="7" t="inlineStr">
        <is>
          <t>陈金</t>
        </is>
      </c>
      <c r="H37" s="36" t="n">
        <v>46307</v>
      </c>
      <c r="I37" s="36" t="n">
        <v>46307</v>
      </c>
      <c r="J37" s="10" t="inlineStr">
        <is>
          <t>#6 结算格式待路凯方提供</t>
        </is>
      </c>
    </row>
    <row r="38" ht="14.5" customHeight="1">
      <c r="A38" s="4" t="inlineStr">
        <is>
          <t>B6</t>
        </is>
      </c>
      <c r="B38" s="4" t="inlineStr">
        <is>
          <t>财务协同</t>
        </is>
      </c>
      <c r="C38" s="4" t="inlineStr">
        <is>
          <t>FP6-01</t>
        </is>
      </c>
      <c r="D38" s="5" t="inlineStr">
        <is>
          <t>应收账单生成：归集规则 + 账单页</t>
        </is>
      </c>
      <c r="E38" s="4" t="inlineStr">
        <is>
          <t>全栈</t>
        </is>
      </c>
      <c r="F38" s="35" t="n">
        <v>1</v>
      </c>
      <c r="G38" s="7" t="inlineStr">
        <is>
          <t>陈金</t>
        </is>
      </c>
      <c r="H38" s="30" t="n">
        <v>46308</v>
      </c>
      <c r="I38" s="30" t="n">
        <v>46308</v>
      </c>
      <c r="J38" s="5" t="n"/>
    </row>
    <row r="39" ht="14.5" customHeight="1">
      <c r="A39" s="9" t="inlineStr">
        <is>
          <t>B6</t>
        </is>
      </c>
      <c r="B39" s="9" t="inlineStr">
        <is>
          <t>财务协同</t>
        </is>
      </c>
      <c r="C39" s="9" t="inlineStr">
        <is>
          <t>FP6-02</t>
        </is>
      </c>
      <c r="D39" s="10" t="inlineStr">
        <is>
          <t>开票登记：登记页 + 应收关联</t>
        </is>
      </c>
      <c r="E39" s="9" t="inlineStr">
        <is>
          <t>全栈</t>
        </is>
      </c>
      <c r="F39" s="35" t="n">
        <v>1</v>
      </c>
      <c r="G39" s="7" t="inlineStr">
        <is>
          <t>陈金</t>
        </is>
      </c>
      <c r="H39" s="36" t="n">
        <v>46309</v>
      </c>
      <c r="I39" s="36" t="n">
        <v>46309</v>
      </c>
      <c r="J39" s="10" t="inlineStr">
        <is>
          <t>依赖 #8 开票主体信息</t>
        </is>
      </c>
    </row>
    <row r="40" ht="14.5" customHeight="1">
      <c r="A40" s="4" t="inlineStr">
        <is>
          <t>B6</t>
        </is>
      </c>
      <c r="B40" s="4" t="inlineStr">
        <is>
          <t>财务协同</t>
        </is>
      </c>
      <c r="C40" s="4" t="inlineStr">
        <is>
          <t>FP6-03</t>
        </is>
      </c>
      <c r="D40" s="5" t="inlineStr">
        <is>
          <t>回款登记：登记页 + 到账关联</t>
        </is>
      </c>
      <c r="E40" s="4" t="inlineStr">
        <is>
          <t>全栈</t>
        </is>
      </c>
      <c r="F40" s="35" t="n">
        <v>1</v>
      </c>
      <c r="G40" s="7" t="inlineStr">
        <is>
          <t>陈金</t>
        </is>
      </c>
      <c r="H40" s="30" t="n">
        <v>46310</v>
      </c>
      <c r="I40" s="30" t="n">
        <v>46310</v>
      </c>
      <c r="J40" s="5" t="n"/>
    </row>
    <row r="41" ht="29" customHeight="1">
      <c r="A41" s="9" t="inlineStr">
        <is>
          <t>B6</t>
        </is>
      </c>
      <c r="B41" s="9" t="inlineStr">
        <is>
          <t>财务协同</t>
        </is>
      </c>
      <c r="C41" s="9" t="inlineStr">
        <is>
          <t>FP6-04 ★补缺</t>
        </is>
      </c>
      <c r="D41" s="10" t="inlineStr">
        <is>
          <t>银行水单核销：导入勾对 + 部分核销逻辑 + 对账联调</t>
        </is>
      </c>
      <c r="E41" s="9" t="inlineStr">
        <is>
          <t>全栈</t>
        </is>
      </c>
      <c r="F41" s="35" t="n">
        <v>2</v>
      </c>
      <c r="G41" s="7" t="inlineStr">
        <is>
          <t>陈金</t>
        </is>
      </c>
      <c r="H41" s="36" t="n">
        <v>46311</v>
      </c>
      <c r="I41" s="36" t="n">
        <v>46314</v>
      </c>
      <c r="J41" s="10" t="inlineStr">
        <is>
          <t>现状缺失环节；依赖 #5 水单样例</t>
        </is>
      </c>
    </row>
    <row r="42" ht="14.5" customHeight="1">
      <c r="A42" s="4" t="inlineStr">
        <is>
          <t>B6</t>
        </is>
      </c>
      <c r="B42" s="4" t="inlineStr">
        <is>
          <t>财务协同</t>
        </is>
      </c>
      <c r="C42" s="4" t="inlineStr">
        <is>
          <t>FP6-05</t>
        </is>
      </c>
      <c r="D42" s="5" t="inlineStr">
        <is>
          <t>项目盈亏报表：汇总计算 + 报表页</t>
        </is>
      </c>
      <c r="E42" s="4" t="inlineStr">
        <is>
          <t>全栈</t>
        </is>
      </c>
      <c r="F42" s="35" t="n">
        <v>1</v>
      </c>
      <c r="G42" s="7" t="inlineStr">
        <is>
          <t>陈金</t>
        </is>
      </c>
      <c r="H42" s="30" t="n">
        <v>46315</v>
      </c>
      <c r="I42" s="30" t="n">
        <v>46315</v>
      </c>
      <c r="J42" s="5" t="n"/>
    </row>
    <row r="43" ht="14.5" customHeight="1">
      <c r="A43" s="9" t="inlineStr">
        <is>
          <t>B7</t>
        </is>
      </c>
      <c r="B43" s="9" t="inlineStr">
        <is>
          <t>系统管理</t>
        </is>
      </c>
      <c r="C43" s="9" t="inlineStr">
        <is>
          <t>FP7-01</t>
        </is>
      </c>
      <c r="D43" s="10" t="inlineStr">
        <is>
          <t>组织与权限：用户角色数据权限 + 管理页</t>
        </is>
      </c>
      <c r="E43" s="9" t="inlineStr">
        <is>
          <t>全栈</t>
        </is>
      </c>
      <c r="F43" s="35" t="n">
        <v>1</v>
      </c>
      <c r="G43" s="7" t="inlineStr">
        <is>
          <t>陈金</t>
        </is>
      </c>
      <c r="H43" s="36" t="n">
        <v>46316</v>
      </c>
      <c r="I43" s="36" t="n">
        <v>46316</v>
      </c>
      <c r="J43" s="10" t="n"/>
    </row>
    <row r="44" ht="14.5" customHeight="1">
      <c r="A44" s="4" t="inlineStr">
        <is>
          <t>B7</t>
        </is>
      </c>
      <c r="B44" s="4" t="inlineStr">
        <is>
          <t>系统管理</t>
        </is>
      </c>
      <c r="C44" s="4" t="inlineStr">
        <is>
          <t>FP7-02</t>
        </is>
      </c>
      <c r="D44" s="5" t="inlineStr">
        <is>
          <t>操作日志：埋点存储 + 查询页</t>
        </is>
      </c>
      <c r="E44" s="4" t="inlineStr">
        <is>
          <t>全栈</t>
        </is>
      </c>
      <c r="F44" s="35" t="n">
        <v>1</v>
      </c>
      <c r="G44" s="7" t="inlineStr">
        <is>
          <t>陈金</t>
        </is>
      </c>
      <c r="H44" s="30" t="n">
        <v>46317</v>
      </c>
      <c r="I44" s="30" t="n">
        <v>46317</v>
      </c>
      <c r="J44" s="5" t="n"/>
    </row>
    <row r="45" ht="14.5" customHeight="1">
      <c r="A45" s="9" t="inlineStr">
        <is>
          <t>B7</t>
        </is>
      </c>
      <c r="B45" s="9" t="inlineStr">
        <is>
          <t>系统管理</t>
        </is>
      </c>
      <c r="C45" s="9" t="inlineStr">
        <is>
          <t>FP7-03</t>
        </is>
      </c>
      <c r="D45" s="10" t="inlineStr">
        <is>
          <t>数据字典：字典管理 + 配置页</t>
        </is>
      </c>
      <c r="E45" s="9" t="inlineStr">
        <is>
          <t>全栈</t>
        </is>
      </c>
      <c r="F45" s="35" t="n">
        <v>1</v>
      </c>
      <c r="G45" s="7" t="inlineStr">
        <is>
          <t>陈金</t>
        </is>
      </c>
      <c r="H45" s="36" t="n">
        <v>46318</v>
      </c>
      <c r="I45" s="36" t="n">
        <v>46318</v>
      </c>
      <c r="J45" s="10" t="n"/>
    </row>
    <row r="46" ht="14.5" customHeight="1">
      <c r="A46" s="4" t="inlineStr">
        <is>
          <t>C1</t>
        </is>
      </c>
      <c r="B46" s="4" t="inlineStr">
        <is>
          <t>测试</t>
        </is>
      </c>
      <c r="C46" s="4" t="inlineStr">
        <is>
          <t>—</t>
        </is>
      </c>
      <c r="D46" s="5" t="inlineStr">
        <is>
          <t>集成测试用例编写与执行</t>
        </is>
      </c>
      <c r="E46" s="4" t="inlineStr">
        <is>
          <t>测试</t>
        </is>
      </c>
      <c r="F46" s="35" t="n">
        <v>2</v>
      </c>
      <c r="G46" s="7" t="inlineStr">
        <is>
          <t>陈金</t>
        </is>
      </c>
      <c r="H46" s="30" t="n">
        <v>46321</v>
      </c>
      <c r="I46" s="30" t="n">
        <v>46322</v>
      </c>
      <c r="J46" s="5" t="n"/>
    </row>
    <row r="47" ht="14.5" customHeight="1">
      <c r="A47" s="9" t="inlineStr">
        <is>
          <t>C1</t>
        </is>
      </c>
      <c r="B47" s="9" t="inlineStr">
        <is>
          <t>测试</t>
        </is>
      </c>
      <c r="C47" s="9" t="inlineStr">
        <is>
          <t>—</t>
        </is>
      </c>
      <c r="D47" s="10" t="inlineStr">
        <is>
          <t>UAT 支持与缺陷修复</t>
        </is>
      </c>
      <c r="E47" s="9" t="inlineStr">
        <is>
          <t>测试</t>
        </is>
      </c>
      <c r="F47" s="35" t="n">
        <v>2</v>
      </c>
      <c r="G47" s="7" t="inlineStr">
        <is>
          <t>陈金</t>
        </is>
      </c>
      <c r="H47" s="37" t="n">
        <v>46323</v>
      </c>
      <c r="I47" s="37" t="n">
        <v>46324</v>
      </c>
      <c r="J47" s="10" t="n"/>
    </row>
    <row r="48" ht="14.5" customHeight="1">
      <c r="A48" s="4" t="inlineStr">
        <is>
          <t>C2</t>
        </is>
      </c>
      <c r="B48" s="4" t="inlineStr">
        <is>
          <t>数据迁移</t>
        </is>
      </c>
      <c r="C48" s="4" t="inlineStr">
        <is>
          <t>—</t>
        </is>
      </c>
      <c r="D48" s="5" t="inlineStr">
        <is>
          <t>主数据整理与导入模板</t>
        </is>
      </c>
      <c r="E48" s="4" t="inlineStr">
        <is>
          <t>迁移</t>
        </is>
      </c>
      <c r="F48" s="35" t="n">
        <v>2</v>
      </c>
      <c r="G48" s="7" t="inlineStr">
        <is>
          <t>陈金</t>
        </is>
      </c>
      <c r="H48" s="30" t="n">
        <v>46325</v>
      </c>
      <c r="I48" s="30" t="n">
        <v>46328</v>
      </c>
      <c r="J48" s="5" t="inlineStr">
        <is>
          <t>依赖 #4 主数据清单</t>
        </is>
      </c>
    </row>
    <row r="49" ht="14.5" customHeight="1">
      <c r="A49" s="9" t="inlineStr">
        <is>
          <t>C2</t>
        </is>
      </c>
      <c r="B49" s="9" t="inlineStr">
        <is>
          <t>数据迁移</t>
        </is>
      </c>
      <c r="C49" s="9" t="inlineStr">
        <is>
          <t>—</t>
        </is>
      </c>
      <c r="D49" s="10" t="inlineStr">
        <is>
          <t>期初库存与在租数据迁移</t>
        </is>
      </c>
      <c r="E49" s="9" t="inlineStr">
        <is>
          <t>迁移</t>
        </is>
      </c>
      <c r="F49" s="35" t="n">
        <v>2</v>
      </c>
      <c r="G49" s="7" t="inlineStr">
        <is>
          <t>陈金</t>
        </is>
      </c>
      <c r="H49" s="36" t="n">
        <v>46329</v>
      </c>
      <c r="I49" s="36" t="n">
        <v>46330</v>
      </c>
      <c r="J49" s="10" t="inlineStr">
        <is>
          <t>依赖 #5 现有台账导出</t>
        </is>
      </c>
    </row>
    <row r="50" ht="14.5" customHeight="1">
      <c r="A50" s="4" t="inlineStr">
        <is>
          <t>C2</t>
        </is>
      </c>
      <c r="B50" s="4" t="inlineStr">
        <is>
          <t>数据迁移</t>
        </is>
      </c>
      <c r="C50" s="4" t="inlineStr">
        <is>
          <t>—</t>
        </is>
      </c>
      <c r="D50" s="5" t="inlineStr">
        <is>
          <t>迁移核对与差异处理</t>
        </is>
      </c>
      <c r="E50" s="4" t="inlineStr">
        <is>
          <t>迁移</t>
        </is>
      </c>
      <c r="F50" s="35" t="n">
        <v>2</v>
      </c>
      <c r="G50" s="7" t="inlineStr">
        <is>
          <t>陈金</t>
        </is>
      </c>
      <c r="H50" s="30" t="n">
        <v>46331</v>
      </c>
      <c r="I50" s="30" t="n">
        <v>46332</v>
      </c>
      <c r="J50" s="5" t="n"/>
    </row>
    <row r="51" ht="14.5" customHeight="1">
      <c r="A51" s="9" t="inlineStr">
        <is>
          <t>C3</t>
        </is>
      </c>
      <c r="B51" s="9" t="inlineStr">
        <is>
          <t>上线部署</t>
        </is>
      </c>
      <c r="C51" s="9" t="inlineStr">
        <is>
          <t>—</t>
        </is>
      </c>
      <c r="D51" s="10" t="inlineStr">
        <is>
          <t>环境部署与发布</t>
        </is>
      </c>
      <c r="E51" s="9" t="inlineStr">
        <is>
          <t>部署</t>
        </is>
      </c>
      <c r="F51" s="35" t="n">
        <v>1</v>
      </c>
      <c r="G51" s="7" t="inlineStr">
        <is>
          <t>陈金</t>
        </is>
      </c>
      <c r="H51" s="36" t="n">
        <v>46335</v>
      </c>
      <c r="I51" s="36" t="n">
        <v>46335</v>
      </c>
      <c r="J51" s="10" t="n"/>
    </row>
    <row r="52" ht="14.5" customHeight="1">
      <c r="A52" s="4" t="inlineStr">
        <is>
          <t>C3</t>
        </is>
      </c>
      <c r="B52" s="4" t="inlineStr">
        <is>
          <t>上线部署</t>
        </is>
      </c>
      <c r="C52" s="4" t="inlineStr">
        <is>
          <t>—</t>
        </is>
      </c>
      <c r="D52" s="5" t="inlineStr">
        <is>
          <t>上线切换与并行期支持</t>
        </is>
      </c>
      <c r="E52" s="4" t="inlineStr">
        <is>
          <t>部署</t>
        </is>
      </c>
      <c r="F52" s="35" t="n">
        <v>1</v>
      </c>
      <c r="G52" s="7" t="inlineStr">
        <is>
          <t>陈金</t>
        </is>
      </c>
      <c r="H52" s="30" t="n">
        <v>46336</v>
      </c>
      <c r="I52" s="30" t="n">
        <v>46336</v>
      </c>
      <c r="J52" s="5" t="n"/>
    </row>
    <row r="53" ht="29" customHeight="1">
      <c r="A53" s="9" t="inlineStr">
        <is>
          <t>C3</t>
        </is>
      </c>
      <c r="B53" s="9" t="inlineStr">
        <is>
          <t>上线部署</t>
        </is>
      </c>
      <c r="C53" s="9" t="inlineStr">
        <is>
          <t>—</t>
        </is>
      </c>
      <c r="D53" s="10" t="inlineStr">
        <is>
          <t>线上试运行与并行验证（真实订单并行跑、问题快速响应）</t>
        </is>
      </c>
      <c r="E53" s="9" t="inlineStr">
        <is>
          <t>测试</t>
        </is>
      </c>
      <c r="F53" s="35" t="n">
        <v>4</v>
      </c>
      <c r="G53" s="7" t="inlineStr">
        <is>
          <t>陈金</t>
        </is>
      </c>
      <c r="H53" s="36" t="n">
        <v>46337</v>
      </c>
      <c r="I53" s="36" t="n">
        <v>46342</v>
      </c>
      <c r="J53" s="13" t="inlineStr">
        <is>
          <t>建议预留 2~4 周试运行窗口，客户验收后转正式运行</t>
        </is>
      </c>
    </row>
    <row r="54" ht="14.5" customHeight="1">
      <c r="A54" s="14" t="n"/>
      <c r="B54" s="14" t="n"/>
      <c r="C54" s="14" t="n"/>
      <c r="D54" s="15" t="inlineStr">
        <is>
          <t>合计（人日）</t>
        </is>
      </c>
      <c r="E54" s="14" t="n"/>
      <c r="F54" s="32">
        <f>SUM(F4:F53)</f>
        <v/>
      </c>
      <c r="G54" s="14" t="n"/>
      <c r="H54" s="17" t="n"/>
      <c r="I54" s="17" t="n"/>
      <c r="J54" s="14" t="n"/>
    </row>
  </sheetData>
  <autoFilter ref="A3:J54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2026-08-31T09:35:00Z</dcterms:created>
  <dcterms:modified xmlns:dcterms="http://purl.org/dc/terms/" xmlns:xsi="http://www.w3.org/2001/XMLSchema-instance" xsi:type="dcterms:W3CDTF">2026-09-03T01:58:05Z</dcterms:modified>
  <cp:lastModifiedBy>yellow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F182C84FF870478BAACB52F140F489BC_13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