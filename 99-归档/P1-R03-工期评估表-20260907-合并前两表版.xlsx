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台-吕道远\5-【ACTIVE】汽车物流包装租赁\"/>
    </mc:Choice>
  </mc:AlternateContent>
  <bookViews>
    <workbookView windowWidth="24750" windowHeight="12080" activeTab="2"/>
  </bookViews>
  <sheets>
    <sheet name="汇总" sheetId="1" r:id="rId1"/>
    <sheet name="功能点评估（全栈）" sheetId="2" r:id="rId2"/>
    <sheet name="按月版本规划" sheetId="3" r:id="rId3"/>
  </sheets>
  <definedNames>
    <definedName name="_xlnm._FilterDatabase" localSheetId="1" hidden="1">'功能点评估（全栈）'!$A$3:$M$70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<sst xmlns="http://schemas.openxmlformats.org/spreadsheetml/2006/main" count="749" uniqueCount="375">
  <si>
    <t>汇总与折算（公式驱动，唯一维护处）</t>
  </si>
  <si>
    <t>WBS</t>
  </si>
  <si>
    <t>模块/阶段</t>
  </si>
  <si>
    <t>人日小计</t>
  </si>
  <si>
    <t>开始日期</t>
  </si>
  <si>
    <t>结束日期</t>
  </si>
  <si>
    <t>关键风险/依赖</t>
  </si>
  <si>
    <t>A1</t>
  </si>
  <si>
    <t>需求调研与PRD</t>
  </si>
  <si>
    <t>#2 #3 材料未齐即启动，PRD 有返工风险</t>
  </si>
  <si>
    <t>A2</t>
  </si>
  <si>
    <t>原型设计</t>
  </si>
  <si>
    <t>v2.8 已交付，仅评修订量</t>
  </si>
  <si>
    <t>B0</t>
  </si>
  <si>
    <t>公共技术底座</t>
  </si>
  <si>
    <t>B1</t>
  </si>
  <si>
    <t>基础数据</t>
  </si>
  <si>
    <t>B2</t>
  </si>
  <si>
    <t>项目管理中心</t>
  </si>
  <si>
    <t>B3</t>
  </si>
  <si>
    <t>仓储作业 ★核心</t>
  </si>
  <si>
    <t>13 类单据；组装/拆卸为全新逻辑，PRD 冻结前估算偏差大</t>
  </si>
  <si>
    <t>B4</t>
  </si>
  <si>
    <t>包装管理（租赁）</t>
  </si>
  <si>
    <t>#1 计费规则未确认（US-14 暂不在基线）</t>
  </si>
  <si>
    <t>B5</t>
  </si>
  <si>
    <t>订单管理</t>
  </si>
  <si>
    <t>#6 路凯对接方式待定</t>
  </si>
  <si>
    <t>B6</t>
  </si>
  <si>
    <t>财务协同</t>
  </si>
  <si>
    <t>#5 单据/水单样例、#8 开票主体待提供</t>
  </si>
  <si>
    <t>B7</t>
  </si>
  <si>
    <t>系统管理</t>
  </si>
  <si>
    <t>B8</t>
  </si>
  <si>
    <t>采购管理</t>
  </si>
  <si>
    <t>第 2 次会新增模块（09-04 拍板第一期闭环）</t>
  </si>
  <si>
    <t>C1</t>
  </si>
  <si>
    <t>测试</t>
  </si>
  <si>
    <t>用例需覆盖 F01 五条主线全链路</t>
  </si>
  <si>
    <t>C2</t>
  </si>
  <si>
    <t>数据迁移</t>
  </si>
  <si>
    <t>#4 主数据清单与格式待提供</t>
  </si>
  <si>
    <t>C3</t>
  </si>
  <si>
    <t>上线部署</t>
  </si>
  <si>
    <t>试运行窗口待与客户确认</t>
  </si>
  <si>
    <t>合计 / 全跨度</t>
  </si>
  <si>
    <t>版本划分小计（方案二·买卖先行，2026-09-05 拍板）</t>
  </si>
  <si>
    <t>版本</t>
  </si>
  <si>
    <t>范围说明</t>
  </si>
  <si>
    <t>前置</t>
  </si>
  <si>
    <t>调研/PRD/原型修订/技术底座（A1+A2+B0，9 行）——首版开工前提</t>
  </si>
  <si>
    <t>2026-09-07</t>
  </si>
  <si>
    <t>2026-09-11</t>
  </si>
  <si>
    <t>V1.0</t>
  </si>
  <si>
    <t>买卖版 · 17 页上线（盘点/看板/项目详情 3 项移 V1.1）：买卖全链（采购订单→入库→销售订单→销售出库）+ 库存（查询/调拨/其他出入库）+ 应收/收款 + 权限；零新逻辑，出活最快；2026-10-16 上线</t>
  </si>
  <si>
    <t>2026-09-10</t>
  </si>
  <si>
    <t>2026-10-16</t>
  </si>
  <si>
    <t>V1.1</t>
  </si>
  <si>
    <t>租赁版 · +20 页（含 V1.0 移入的盘点/看板/详情，盘点优先补缺口）：租赁循环（组装★/租赁单/退租/四态）+ BOM + 丢损赔偿 + 应付简化 + 我的待办；2026-11-17 上线</t>
  </si>
  <si>
    <t>2026-10-19</t>
  </si>
  <si>
    <t>2026-11-17</t>
  </si>
  <si>
    <t>V2.0</t>
  </si>
  <si>
    <t>深化版 · +8 页：租入三单（L3/L4）+ 路凯对接 + 财务收口（开票/水单核销★/项目损益）+ 日志字典；依赖未定项全部收在此版</t>
  </si>
  <si>
    <t>2026-11-18</t>
  </si>
  <si>
    <t>2026-12-07</t>
  </si>
  <si>
    <t>各版</t>
  </si>
  <si>
    <t>测试/数据迁移/上线部署（C1~C3，8 行）——每版上线前各跑一轮，按版重复投入</t>
  </si>
  <si>
    <t>2026-10-08</t>
  </si>
  <si>
    <t>2026-12-18</t>
  </si>
  <si>
    <t>版本合计（校验，应等于上方总合计）</t>
  </si>
  <si>
    <t>参数与折算</t>
  </si>
  <si>
    <t>缓冲比例</t>
  </si>
  <si>
    <t>黄格待填：建议 15%~20%，覆盖联调与管理裕度</t>
  </si>
  <si>
    <t>投入人数</t>
  </si>
  <si>
    <t>黄格待填：对应 P1-R01 第八节 #9</t>
  </si>
  <si>
    <t>每月工作日</t>
  </si>
  <si>
    <t>人月折算基准</t>
  </si>
  <si>
    <t>含缓冲合计（人日）</t>
  </si>
  <si>
    <t>自动：合计×(1+缓冲)</t>
  </si>
  <si>
    <t>日历工期（月）</t>
  </si>
  <si>
    <t>自动：含缓冲÷(每月工作日×人数)</t>
  </si>
  <si>
    <t>日历工期（周）</t>
  </si>
  <si>
    <t>自动</t>
  </si>
  <si>
    <t>P1-R03 工期评估表 · 功能点级（全栈口径）</t>
  </si>
  <si>
    <t>口径：人日含概要设计+编码+自测；每功能点一行、不分前后端（类型=全栈）。2026-09-05 按方案二（买卖先行）标定「版本」列：V1.0 买卖版 21 页 / V1.1 租赁版 +16 页 / V2.0 深化版 +8 页，前置=调研+底座、各版=测试迁移上线每版重复投入。标（待补）的 10 行为原型已有但 §5.1 未编 FP 码的页面。人日/评估人/开始/结束全部留白，由道远与开发逐行填写；上一版估算归档于 99-归档/P1-R03-工期评估表-20260905.xlsx。｜2026-09-06 更新：按 3 名全栈开发、2026-09-07~09-10 芋道（yudao）JDK21 底座搭建、09-10 起业务开发、原型基本确定（前置压缩）口径填入人日初评；「各版」行 H=单轮人日×3 版；评估人/起止列留白待道远与开发复核微调。｜2026-09-06 二次调整：为赶 V1.0 于 2026-10-30 上线，盘点单（FP3-05）/项目看板（FP2-03）/项目详情（FP2-04）共 8.5 人日移至 V1.1——V1.0 缩为 17 页、V1.1 扩为 +20 页，总人日不变。｜2026-09-06 方案 2.0：3 名全栈全部借助 Claude Code vibe coding，按净提速口径重估——列表/弹窗/文档类×0.6、录单+过账×0.7、复杂业务逻辑（库存过账/组装拆卸/计费/核销/路凯对接）×0.75~0.85（人工设计主导）、调研评审不提速；整体 212→149 人日（-29.6%），15% 缓冲与版本范围不变。｜I 列「含缓冲人日」=H×(1+汇总!C30) 自动计算，与「按月版本规划」口径统一（171.35），汇报用 I 列。</t>
  </si>
  <si>
    <t>功能点</t>
  </si>
  <si>
    <t>任务</t>
  </si>
  <si>
    <t>类型</t>
  </si>
  <si>
    <t>对应原型页面</t>
  </si>
  <si>
    <t>人日</t>
  </si>
  <si>
    <t>含缓冲人日
（=人日×1.15）</t>
  </si>
  <si>
    <t>评估人</t>
  </si>
  <si>
    <t>开始时间</t>
  </si>
  <si>
    <t>结束时间</t>
  </si>
  <si>
    <t>备注（风险/依赖）</t>
  </si>
  <si>
    <t>—</t>
  </si>
  <si>
    <t>原型页面走查与字段确认（45 页逐页过、与吉客云/路凯现状对照）</t>
  </si>
  <si>
    <t>调研</t>
  </si>
  <si>
    <t>45 页全量</t>
  </si>
  <si>
    <t>吕道远</t>
  </si>
  <si>
    <t>依赖 #2 #3：账号或全套截图；走查结论直接落到 PRD</t>
  </si>
  <si>
    <t>计费规则与单据流程确认（含四态计费口径）</t>
  </si>
  <si>
    <t>依赖 #1 #5：合同/报价单、单据样例</t>
  </si>
  <si>
    <t>PRD 编写（按模块分册，以原型页面为底稿）</t>
  </si>
  <si>
    <t>文档</t>
  </si>
  <si>
    <t>PRD 评审与范围冻结</t>
  </si>
  <si>
    <t>客户确认后冻结范围，原型同步定稿</t>
  </si>
  <si>
    <t>原型按评审反馈修订</t>
  </si>
  <si>
    <t>原型</t>
  </si>
  <si>
    <t>涉及页视反馈</t>
  </si>
  <si>
    <t>v2.8 已交付（45 页 + 79 弹窗 + F01 导航图），仅评修订量，勿按全量重估</t>
  </si>
  <si>
    <t>原型评审确认与定稿</t>
  </si>
  <si>
    <t>45 页全量 + F01</t>
  </si>
  <si>
    <t>与 PRD 冻结同节点收口</t>
  </si>
  <si>
    <t>工程脚手架与 CI/CD</t>
  </si>
  <si>
    <t>全栈</t>
  </si>
  <si>
    <t>徐蔚</t>
  </si>
  <si>
    <t>本表新增项，非 P1-R01 功能点，评估时确认保留</t>
  </si>
  <si>
    <t>登录认证与框架权限</t>
  </si>
  <si>
    <t>原型未含登录页，按通用方案实现</t>
  </si>
  <si>
    <t>通用组件（单据/列表/导入导出/弹窗/四段式详情）</t>
  </si>
  <si>
    <t>全站</t>
  </si>
  <si>
    <t>复刻原型交互；79 个弹窗模板与四段式详情组件可直接参照</t>
  </si>
  <si>
    <t>FP1-01</t>
  </si>
  <si>
    <t>项目档案：页面 + 表结构与接口</t>
  </si>
  <si>
    <t>项目档案</t>
  </si>
  <si>
    <t>FP1-02</t>
  </si>
  <si>
    <t>客商管理：三类客商档案（含开票资料）</t>
  </si>
  <si>
    <t>客商管理</t>
  </si>
  <si>
    <t>FP1-03</t>
  </si>
  <si>
    <t>器具档案：页面 + 接口</t>
  </si>
  <si>
    <t>器具档案</t>
  </si>
  <si>
    <t>FP1-04</t>
  </si>
  <si>
    <t>零部件档案：页面 + 接口</t>
  </si>
  <si>
    <t>零部件档案</t>
  </si>
  <si>
    <t>FP1-05</t>
  </si>
  <si>
    <t>子母件 BOM：维护页 + 版本管理与配比校验</t>
  </si>
  <si>
    <t>BOM + BOM维护（2页）</t>
  </si>
  <si>
    <t>配比错误需拦截；BOM 仅租赁域使用，随租赁版上线</t>
  </si>
  <si>
    <t>FP1-06</t>
  </si>
  <si>
    <t>库位档案：页面 + 接口（仓/区/位三级）</t>
  </si>
  <si>
    <t>库位档案</t>
  </si>
  <si>
    <t>预留扫码接口（REQ-20）</t>
  </si>
  <si>
    <t>FP2-01</t>
  </si>
  <si>
    <t>项目编码规则：规则引擎 + 配置</t>
  </si>
  <si>
    <t>项目档案（编码规则弹窗）</t>
  </si>
  <si>
    <t>FP2-02</t>
  </si>
  <si>
    <t>上下游绑定：关系维护 + 模型接口</t>
  </si>
  <si>
    <t>项目档案（上下游绑定弹窗）</t>
  </si>
  <si>
    <t>FP2-03</t>
  </si>
  <si>
    <t>项目看板：图表页 + 统计接口</t>
  </si>
  <si>
    <t>首页·项目看板</t>
  </si>
  <si>
    <t>V1.0→V1.1（2026-09-06 赶 10 月上线范围调整）</t>
  </si>
  <si>
    <t>FP2-04</t>
  </si>
  <si>
    <t>明细查看：从汇总数据进入单据明细</t>
  </si>
  <si>
    <t>项目详情</t>
  </si>
  <si>
    <t>（待补）</t>
  </si>
  <si>
    <t>我的待办：18 类待办聚合入口</t>
  </si>
  <si>
    <t>首页·我的待办</t>
  </si>
  <si>
    <t>FP 码待补（§5.1 未编）；聚合各模块待办，单据类型齐了才有意义，随租赁版</t>
  </si>
  <si>
    <t>FP3-01</t>
  </si>
  <si>
    <t>采购入库单（执行）：录单 + 入库过账与库存更新</t>
  </si>
  <si>
    <t>采购入库 列表+录单（2页）</t>
  </si>
  <si>
    <t>V1.0 无采购订单时先手工入库（同吉客云现状），V1.0 内衔接 FP8-03 凭单发起</t>
  </si>
  <si>
    <t>FP3-02 ★新增</t>
  </si>
  <si>
    <t>组装单：录单 + 库存转换引擎（A+B→C）</t>
  </si>
  <si>
    <t>组装 列表+录单（2页）</t>
  </si>
  <si>
    <t>新逻辑：组装动作首次入系统；组装后散件转成品库存</t>
  </si>
  <si>
    <t>FP3-03</t>
  </si>
  <si>
    <t>组合出库单：录单 + 出库过账与台账联动</t>
  </si>
  <si>
    <t>组合出库 列表+录单（2页）</t>
  </si>
  <si>
    <t>FP3-04</t>
  </si>
  <si>
    <t>退租入库验收单：按零件核对缺损并记明细</t>
  </si>
  <si>
    <t>退租入库列表（审核弹窗）</t>
  </si>
  <si>
    <t>由退租申请（B4）触发；退租入库加拆散去向（v2.8）</t>
  </si>
  <si>
    <t>FP3-05</t>
  </si>
  <si>
    <t>盘点单：零件/组合双口径 + 盘盈亏过账</t>
  </si>
  <si>
    <t>盘点 列表+录入（2页）</t>
  </si>
  <si>
    <t>FP3-06</t>
  </si>
  <si>
    <t>库存查询：零件/组合双视角 + 库存流水</t>
  </si>
  <si>
    <t>库存查询（含流水弹窗）</t>
  </si>
  <si>
    <t>销售出库单：录单 + 出库过账（买卖线出库执行）</t>
  </si>
  <si>
    <t>销售出库列表（新建/审核弹窗）</t>
  </si>
  <si>
    <t>FP 码待补；买卖线核心出库单</t>
  </si>
  <si>
    <t>其他入库单：无单据来源杂项入库</t>
  </si>
  <si>
    <t>其他入库列表（新建/审核弹窗）</t>
  </si>
  <si>
    <t>FP 码待补</t>
  </si>
  <si>
    <t>其他出库单：报废/杂项出库</t>
  </si>
  <si>
    <t>其他出库列表（新建/审核弹窗）</t>
  </si>
  <si>
    <t>库存调拨单：库间调拨 + 过账</t>
  </si>
  <si>
    <t>库存调拨列表（新建/审核弹窗）</t>
  </si>
  <si>
    <t>拆卸单：C→A+B 逆向、散件回库</t>
  </si>
  <si>
    <t>拆卸管理列表（新建/审核弹窗）</t>
  </si>
  <si>
    <t>FP 码待补；组装逆向，应对日计划变更</t>
  </si>
  <si>
    <t>租入入库单：租入包装验收入库（L3/L4）</t>
  </si>
  <si>
    <t>租入入库列表（确认弹窗）</t>
  </si>
  <si>
    <t>FP 码待补；租入体系独立单据（09-04 拍板）</t>
  </si>
  <si>
    <t>租入归还单：归还供应商出库（L3/L4）</t>
  </si>
  <si>
    <t>租入归还列表（新建/审核弹窗）</t>
  </si>
  <si>
    <t>FP4-01</t>
  </si>
  <si>
    <t>租出台账：页面 + 接口</t>
  </si>
  <si>
    <t>租出台账</t>
  </si>
  <si>
    <t>资产来源标记（v2.8）</t>
  </si>
  <si>
    <t>FP4-02</t>
  </si>
  <si>
    <t>在租台账：在库/在途/客户端/退租四态统计</t>
  </si>
  <si>
    <t>在租台账（器具出租履历弹窗）</t>
  </si>
  <si>
    <t>FP4-03</t>
  </si>
  <si>
    <t>循环状态与计费：状态流转 + 按数量结算</t>
  </si>
  <si>
    <t>在租台账（状态操作）</t>
  </si>
  <si>
    <t>#1 计费规则未确认；租金自动计费（US-14）暂不在基线</t>
  </si>
  <si>
    <t>FP4-04</t>
  </si>
  <si>
    <t>丢损赔偿单：退租缺损自动生成赔偿应收</t>
  </si>
  <si>
    <t>丢损赔偿单（审核/报废弹窗）</t>
  </si>
  <si>
    <t>按对象转单据：客户→应收 / 运营方·供应商→应付（道远 09-04 拍板）</t>
  </si>
  <si>
    <t>FP4-05</t>
  </si>
  <si>
    <t>租赁单（出租）：向客户租出、生成租赁单</t>
  </si>
  <si>
    <t>租赁单列表（新建/审核弹窗）</t>
  </si>
  <si>
    <t>替代原「客户下单」，关联项目与客户</t>
  </si>
  <si>
    <t>退租申请：客户退租入口，触发验收</t>
  </si>
  <si>
    <t>退租申请列表（新建/审核弹窗）</t>
  </si>
  <si>
    <t>FP 码待补；L4 退租申请节点（v2.8）</t>
  </si>
  <si>
    <t>FP5-01</t>
  </si>
  <si>
    <t>订单管理（代下单）：项目经理代客户下单、统一订单列表</t>
  </si>
  <si>
    <t>销售订单列表（租赁/买卖两用）</t>
  </si>
  <si>
    <t>REQ-07：客户发 PO、不再分客户端；V1.0 先跑买卖线订单</t>
  </si>
  <si>
    <t>FP5-02</t>
  </si>
  <si>
    <t>订单审核：工作台 + 审核流转</t>
  </si>
  <si>
    <t>销售订单审核弹窗</t>
  </si>
  <si>
    <t>FP5-03</t>
  </si>
  <si>
    <t>订单同步（路凯）：同步通道 + 记录重发</t>
  </si>
  <si>
    <t>后台通道（无独立页）</t>
  </si>
  <si>
    <t>#6 对接方式待定，评估按导出/接口两档</t>
  </si>
  <si>
    <t>FP5-04</t>
  </si>
  <si>
    <t>结算数据导出：数据生成 + 传递</t>
  </si>
  <si>
    <t>后台逻辑 + 导出入口</t>
  </si>
  <si>
    <t>#6 结算格式待路凯方提供</t>
  </si>
  <si>
    <t>FP6-01</t>
  </si>
  <si>
    <t>应收账单生成：归集规则 + 账单页</t>
  </si>
  <si>
    <t>应收账单（生成/详情弹窗）</t>
  </si>
  <si>
    <t>FP6-02</t>
  </si>
  <si>
    <t>开票登记与发票上传：登记 + 应收关联</t>
  </si>
  <si>
    <t>开票登记（新建/详情弹窗）</t>
  </si>
  <si>
    <t>依赖 #8 开票主体信息</t>
  </si>
  <si>
    <t>FP6-03</t>
  </si>
  <si>
    <t>回款登记：到账录入 + 关联</t>
  </si>
  <si>
    <t>回款登记（收款登记弹窗）</t>
  </si>
  <si>
    <t>FP6-04 ★补缺</t>
  </si>
  <si>
    <t>银行水单核销：导入勾对 + 部分核销 + 对账联调</t>
  </si>
  <si>
    <t>银行水单核销（勾对工作台）</t>
  </si>
  <si>
    <t>现状缺失环节；依赖 #5 水单样例</t>
  </si>
  <si>
    <t>FP6-05</t>
  </si>
  <si>
    <t>项目盈亏报表：汇总计算 + 报表页</t>
  </si>
  <si>
    <t>盈亏报表</t>
  </si>
  <si>
    <t>须应收应付数据齐后才准</t>
  </si>
  <si>
    <t>FP6-06 ★新增</t>
  </si>
  <si>
    <t>应付账单：采购/租入自动生成应付（第一期简化）</t>
  </si>
  <si>
    <t>应付账单（新建/详情弹窗）</t>
  </si>
  <si>
    <t>REQ-21；V1.1 简化版（登记+记录），完整核销流 V2.0</t>
  </si>
  <si>
    <t>FP6-07 ★新增</t>
  </si>
  <si>
    <t>付款登记：银行付款录入，关联应付</t>
  </si>
  <si>
    <t>付款登记（新建/付款确认弹窗）</t>
  </si>
  <si>
    <t>REQ-21</t>
  </si>
  <si>
    <t>FP7-01</t>
  </si>
  <si>
    <t>组织与权限：用户/角色/数据权限（我方/客户区分）</t>
  </si>
  <si>
    <t>用户权限（角色管理弹窗）</t>
  </si>
  <si>
    <t>FP7-02</t>
  </si>
  <si>
    <t>操作日志：埋点存储 + 查询页</t>
  </si>
  <si>
    <t>操作日志</t>
  </si>
  <si>
    <t>FP7-03</t>
  </si>
  <si>
    <t>数据字典：字典管理 + 配置页</t>
  </si>
  <si>
    <t>数据字典（新增字典项弹窗）</t>
  </si>
  <si>
    <t>FP8-01</t>
  </si>
  <si>
    <t>采购订单：新建 + 列表（先销后采/先采后销）</t>
  </si>
  <si>
    <t>采购订单列表（新建/详情弹窗）</t>
  </si>
  <si>
    <t>B1 采购线（09-04 拍板，不以销定采）</t>
  </si>
  <si>
    <t>FP8-02</t>
  </si>
  <si>
    <t>采购订单审核：状态流（待提交/待审核/已完成）</t>
  </si>
  <si>
    <t>采购订单审核弹窗</t>
  </si>
  <si>
    <t>FP8-03</t>
  </si>
  <si>
    <t>采购入库（发起）：到货登记关联采购订单</t>
  </si>
  <si>
    <t>采购入库列表（凭单验收注记）</t>
  </si>
  <si>
    <t>执行由 FP3-01 承接</t>
  </si>
  <si>
    <t>FP8-04</t>
  </si>
  <si>
    <t>销售订单（买卖线）：客户购买订单</t>
  </si>
  <si>
    <t>销售订单列表（与 FP5-01 同页两线）</t>
  </si>
  <si>
    <t>审核后走销售出库（B3·V1.0）</t>
  </si>
  <si>
    <t>租入单：向路凯/供应商租入包装（L3/L4）</t>
  </si>
  <si>
    <t>租入单列表（新建/审核弹窗）</t>
  </si>
  <si>
    <t>FP 码待补；租入体系起点，触发租入入库</t>
  </si>
  <si>
    <t>集成测试用例编写与执行</t>
  </si>
  <si>
    <t>F01 导航图 v2.8</t>
  </si>
  <si>
    <t>覆盖 F01 五条主线（B1 销售/采购双线、L1~L4）+ S1~S7 支线 + 应收/应付财务通道；每版上线前各跑一轮</t>
  </si>
  <si>
    <t>UAT 支持与缺陷修复</t>
  </si>
  <si>
    <t/>
  </si>
  <si>
    <t>主数据整理与导入模板</t>
  </si>
  <si>
    <t>迁移</t>
  </si>
  <si>
    <t>依赖 #4 主数据清单；V1.0 前导客商/器具/零部件，V1.1 前导 BOM 与在租</t>
  </si>
  <si>
    <t>期初库存与在租数据迁移（含租入在途）</t>
  </si>
  <si>
    <t>依赖 #5 现有台账导出；买卖库存随 V1.0、在租四态随 V1.1、租入在途随 V2.0</t>
  </si>
  <si>
    <t>迁移核对与差异处理</t>
  </si>
  <si>
    <t>环境部署与发布</t>
  </si>
  <si>
    <t>部署</t>
  </si>
  <si>
    <t>三版各发布一次</t>
  </si>
  <si>
    <t>上线切换与并行期支持</t>
  </si>
  <si>
    <t>线上试运行与并行验证（真实订单并行跑、问题快速响应）</t>
  </si>
  <si>
    <t>建议每版预留试运行窗口（V1.0 2~4 周、后续版 1~2 周），客户验收后转正式运行</t>
  </si>
  <si>
    <t>合计（人日）</t>
  </si>
  <si>
    <t>颜色图例</t>
  </si>
  <si>
    <t>表头（白字）</t>
  </si>
  <si>
    <t>WBS 编号列</t>
  </si>
  <si>
    <t>版本 = V1.0 买卖版</t>
  </si>
  <si>
    <t>版本 = V1.1 租赁版</t>
  </si>
  <si>
    <t>版本 = V2.0 深化版</t>
  </si>
  <si>
    <t>前置/各版 + 公式自动计算（勿手改）</t>
  </si>
  <si>
    <t>FP 码待补行（§5.1 未编）</t>
  </si>
  <si>
    <t>风险条目（按月表 R1~R5）</t>
  </si>
  <si>
    <t>待填（现仅汇总表缓冲/人数 2 格）</t>
  </si>
  <si>
    <t>按月版本规划 · 方案 2.0（3 全栈 + Claude Code vibe coding · 2026-09-07 开工 · 含 15% 缓冲 · 2026 年内全量交付）</t>
  </si>
  <si>
    <t>口径：计划人日=功能点表人日（AI 协作净口径）×1.15；产能=当月实际工作日×3 人（09 月自 09-07 起 18 天、10 月扣国庆 16 天、12 月 23 天）；AI 提速分档——列表/弹窗/文档×0.6、录单+过账×0.7、复杂逻辑×0.75~0.85、调研评审不提速，整体净提速约 30%（212→150 人日）；里程碑为目标值。</t>
  </si>
  <si>
    <t>月份</t>
  </si>
  <si>
    <t>版本/阶段</t>
  </si>
  <si>
    <t>计划人日
（含缓冲）</t>
  </si>
  <si>
    <t>当月产能
（人日）</t>
  </si>
  <si>
    <t>负载率</t>
  </si>
  <si>
    <t>当月开发内容（功能点）</t>
  </si>
  <si>
    <t>里程碑 / 上线节点</t>
  </si>
  <si>
    <t>2026-09</t>
  </si>
  <si>
    <t>前置 + 底座 +
V1.0 全量开发</t>
  </si>
  <si>
    <t>① 09-07~09-09 芋道 JDK21 底座：Claude Code 搭建脚手架+CI/CD、登录认证适配，09-09~09-10 落编码规范与组件约定（三人三套 AI 风格靠这个统一）；② 并行：原型走查、计费规则确认、Claude 按原型 HTML 起草字段级 PRD（09-11 评审冻结）；③ 09-10 起 V1.0 全量：基础数据（客商/器具/零部件/库位）+ 项目域（档案/编码规则/上下游）+ 买卖链（采购/销售订单、出入库、库存查询/调拨、应收/回款、权限）</t>
  </si>
  <si>
    <t>09-09 底座+规范就绪；09-11 PRD 冻结；09-30 V1.0 功能开发完成</t>
  </si>
  <si>
    <t>2026-10</t>
  </si>
  <si>
    <t>★ V1.0 上线 +
V1.1 主开发</t>
  </si>
  <si>
    <t>① 10-08~10-15 轮1：集成测试（Claude 生成用例+自动化脚本）、UAT、主数据迁移（客商/器具/零部件）、部署、上线切换；② 10-16 ★ V1.0 买卖版上线；③ 10-19 起 V1.1 主开发：BOM 维护、组装单★、组合出库、退租申请+退租入库、拆卸单、租赁单、租出/在租台账四态（国庆仅 16 个工作日，本月满负荷）</t>
  </si>
  <si>
    <t>10-15 轮1 测试退出；10-16 ★ V1.0 买卖版上线（17 页）；V1.0 试运行转正式</t>
  </si>
  <si>
    <t>2026-11</t>
  </si>
  <si>
    <t>★ V1.1 上线 +
V2.0 开发 + 轮3 启动</t>
  </si>
  <si>
    <t>① V1.1 收尾（11-06 开发完成）：循环状态与计费、丢损赔偿、应付简化+付款、我的待办、移入 3 项（盘点优先补 V1.0 缺口、看板/详情）；② 11-09~11-16 轮2：集成测试+UAT、BOM 与在租数据迁移；③ 11-17 ★ V1.1 上线；④ 11-17~11-26 V2.0 开发：租入三单、路凯订单同步、结算导出、开票登记、水单核销、盈亏报表、日志字典；⑤ 11-27 轮3 启动</t>
  </si>
  <si>
    <t>11-06 V1.1 功能开发完成；11-17 ★ V1.1 租赁版上线（累计 37 页）；11-26 V2.0 开发完成</t>
  </si>
  <si>
    <t>2026-12</t>
  </si>
  <si>
    <t>★ V2.0 上线 +
试运行 + 年内验收</t>
  </si>
  <si>
    <t>① 12-01~12-04 轮3 收尾：集成测试、租入在途迁移、部署；② 12-07 ★ V2.0 深化版全量上线；③ 12-07~12-18 试运行（真实订单并行跑）+ 验收材料（12 月底前项目验收）；④ 富余产能启动 2027 增强 backlog：租金自动计费（US-14）、库位扫码（REQ-20）、资产轨迹物联网二期</t>
  </si>
  <si>
    <t>12-07 ★ V2.0 全量上线（45 页功能全量）；12-25 前后项目验收，2026 年内交付收口</t>
  </si>
  <si>
    <t>合计</t>
  </si>
  <si>
    <t>全项目跨度 2026-09-07 ~ 2026-12-25（约 3.6 个月、80 个工作日；含缓冲总投入 171.35 人日（=149×1.15，与功能点表 I 列合计一致），较方案一 243.8 缩短 1.3 个月；12 月富余产能转 2027 增强 backlog）</t>
  </si>
  <si>
    <t>版本里程碑一览（方案 2.0 vs 方案一）</t>
  </si>
  <si>
    <t>上线/完成目标</t>
  </si>
  <si>
    <t>范围（对应功能点表「版本」列）</t>
  </si>
  <si>
    <t>2026-09-07 ~ 09-11（方案一 09-16）</t>
  </si>
  <si>
    <t>走查/计费确认/Claude 起草 PRD + 芋道底座（09-07~09-09 Claude 搭建，09-09~09-10 落规范）</t>
  </si>
  <si>
    <t>V1.0 买卖版</t>
  </si>
  <si>
    <t>2026-10-16 上线（方案一 10-30）</t>
  </si>
  <si>
    <t>17 页：买卖全链 + 库存（查询/调拨/其他出入库）+ 应收/回款 + 权限</t>
  </si>
  <si>
    <t>V1.1 租赁版</t>
  </si>
  <si>
    <t>2026-11-17 上线（方案一 12-10）</t>
  </si>
  <si>
    <t>+20 页：盘点/看板/详情（移入）+ 租赁循环（组装★/租赁/退租/四态）+ BOM + 丢损 + 应付简化 + 待办</t>
  </si>
  <si>
    <t>V2.0 深化版</t>
  </si>
  <si>
    <t>2026-12-07 上线（方案一 01-15）</t>
  </si>
  <si>
    <t>+8 页：租入三单 + 路凯对接 + 财务收口（开票/水单核销★/盈亏）+ 日志字典</t>
  </si>
  <si>
    <t>验收收口</t>
  </si>
  <si>
    <t>2026-12-25 前后（方案一 2027-01-31）</t>
  </si>
  <si>
    <t>试运行 2 周 + 验收；12 月富余产能启动 US-14 租金计费 / REQ-20 扫码等 2027 backlog</t>
  </si>
  <si>
    <t>各版（×3 轮）</t>
  </si>
  <si>
    <t>10-08 / 11-09 / 12-01 启动</t>
  </si>
  <si>
    <t>测试/UAT/迁移/部署/切换/试运行——单轮 15 人日×3 版=45 人日（含缓冲 51.75）</t>
  </si>
  <si>
    <t>AI 协作（Claude Code）前提与风险</t>
  </si>
  <si>
    <t>R1 评审带宽</t>
  </si>
  <si>
    <t>AI 产出量大，3 名工程师须固定每日代码评审节奏，否则质量债累积击穿 15% 缓冲</t>
  </si>
  <si>
    <t>R2 风格统一</t>
  </si>
  <si>
    <t>底座周内（09-09~09-10）必须落编码规范+组件约定+prompt 素材库（42 页原型 HTML+本表），避免三人三套 AI 风格</t>
  </si>
  <si>
    <t>R3 关键逻辑</t>
  </si>
  <si>
    <t>库存过账/组装拆卸/四态计费/水单核销以人工设计为主、AI 辅助实现——对应行提速仅按 75%~85% 计，勿再压</t>
  </si>
  <si>
    <t>R4 磨合回退</t>
  </si>
  <si>
    <t>若 AI 协作磨合不顺（净提速退化至 ×0.85），V2.0 顺延至 12 月中下旬，仍在 2026 年内；激进档（×0.6）可再提前约 1 周</t>
  </si>
  <si>
    <t>R5 外部依赖</t>
  </si>
  <si>
    <t>路凯对接方式（#6）、水单样例（#5）、开票主体（#8）、主数据清单（#4）须按新节点提前到位——10 月中旬前拿到主数据是 V1.0 上线硬前提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</si>
</sst>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  <numFmt numFmtId="177" formatCode="0.0"/>
  </numFmts>
  <fonts count="26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595959"/>
      <name val="微软雅黑"/>
      <charset val="134"/>
    </font>
    <font>
      <b/>
      <sz val="10"/>
      <color rgb="FFFFFFFF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b/>
      <sz val="10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7FAF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DF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3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14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1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  <xf numFmtId="0" fontId="24" fillId="39" borderId="0">
      <alignment vertical="center"/>
    </xf>
    <xf numFmtId="0" fontId="25" fillId="40" borderId="0">
      <alignment vertical="center"/>
    </xf>
    <xf numFmtId="0" fontId="25" fillId="41" borderId="0">
      <alignment vertical="center"/>
    </xf>
    <xf numFmtId="0" fontId="24" fillId="42" borderId="0">
      <alignment vertical="center"/>
    </xf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77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9" fontId="5" fillId="4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5" fillId="6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2" borderId="1" xfId="0" applyFill="1" applyBorder="1"/>
    <xf numFmtId="0" fontId="5" fillId="0" borderId="0" xfId="0" applyFont="1" applyAlignment="1">
      <alignment horizontal="left" vertical="center"/>
    </xf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0" fillId="5" borderId="1" xfId="0" applyFill="1" applyBorder="1"/>
    <xf numFmtId="0" fontId="0" fillId="12" borderId="1" xfId="0" applyFill="1" applyBorder="1"/>
    <xf numFmtId="176" fontId="5" fillId="4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1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showGridLines="0" workbookViewId="0">
      <pane ySplit="3" topLeftCell="A2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7" customWidth="1"/>
    <col min="2" max="2" width="18" customWidth="1"/>
    <col min="3" max="3" width="11" customWidth="1"/>
    <col min="4" max="5" width="13" customWidth="1"/>
    <col min="6" max="6" width="34" customWidth="1"/>
  </cols>
  <sheetData>
    <row r="1" ht="18" customHeight="1" spans="1:6">
      <c r="A1" s="20" t="s">
        <v>0</v>
      </c>
    </row>
    <row r="3" ht="14.5" customHeight="1" spans="1:6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</row>
    <row r="4" ht="26" customHeight="1" spans="1:6">
      <c r="A4" s="22" t="s">
        <v>7</v>
      </c>
      <c r="B4" s="13" t="s">
        <v>8</v>
      </c>
      <c r="C4" s="45">
        <f>SUMIF('功能点评估（全栈）'!$A$4:$A$69,$A4,'功能点评估（全栈）'!$H$4:$H$69)</f>
        <v>6</v>
      </c>
      <c r="D4" s="46">
        <f>IF(COUNT('功能点评估（全栈）'!K4:K7)=0,"",MIN('功能点评估（全栈）'!K4:K7))</f>
        <v>46272</v>
      </c>
      <c r="E4" s="46">
        <f>IF(COUNT('功能点评估（全栈）'!L4:L7)=0,"",MAX('功能点评估（全栈）'!L4:L7))</f>
        <v>46276</v>
      </c>
      <c r="F4" s="13" t="s">
        <v>9</v>
      </c>
    </row>
    <row r="5" spans="1:6">
      <c r="A5" s="22" t="s">
        <v>10</v>
      </c>
      <c r="B5" s="13" t="s">
        <v>11</v>
      </c>
      <c r="C5" s="45">
        <f>SUMIF('功能点评估（全栈）'!$A$4:$A$69,$A5,'功能点评估（全栈）'!$H$4:$H$69)</f>
        <v>1</v>
      </c>
      <c r="D5" s="46">
        <f>IF(COUNT('功能点评估（全栈）'!K8:K9)=0,"",MIN('功能点评估（全栈）'!K8:K9))</f>
        <v>46275</v>
      </c>
      <c r="E5" s="46">
        <f>IF(COUNT('功能点评估（全栈）'!L8:L9)=0,"",MAX('功能点评估（全栈）'!L8:L9))</f>
        <v>46276</v>
      </c>
      <c r="F5" s="13" t="s">
        <v>12</v>
      </c>
    </row>
    <row r="6" spans="1:6">
      <c r="A6" s="22" t="s">
        <v>13</v>
      </c>
      <c r="B6" s="13" t="s">
        <v>14</v>
      </c>
      <c r="C6" s="45">
        <f>SUMIF('功能点评估（全栈）'!$A$4:$A$69,$A6,'功能点评估（全栈）'!$H$4:$H$69)</f>
        <v>5.5</v>
      </c>
      <c r="D6" s="46">
        <f>IF(COUNT('功能点评估（全栈）'!K10:K12)=0,"",MIN('功能点评估（全栈）'!K10:K12))</f>
        <v>46272</v>
      </c>
      <c r="E6" s="46">
        <f>IF(COUNT('功能点评估（全栈）'!L10:L12)=0,"",MAX('功能点评估（全栈）'!L10:L12))</f>
        <v>46275</v>
      </c>
      <c r="F6" s="13"/>
    </row>
    <row r="7" spans="1:6">
      <c r="A7" s="22" t="s">
        <v>15</v>
      </c>
      <c r="B7" s="13" t="s">
        <v>16</v>
      </c>
      <c r="C7" s="45">
        <f>SUMIF('功能点评估（全栈）'!$A$4:$A$69,$A7,'功能点评估（全栈）'!$H$4:$H$69)</f>
        <v>9.5</v>
      </c>
      <c r="D7" s="46">
        <f>IF(COUNT('功能点评估（全栈）'!K13:K18)=0,"",MIN('功能点评估（全栈）'!K13:K18))</f>
        <v>46275</v>
      </c>
      <c r="E7" s="46">
        <f>IF(COUNT('功能点评估（全栈）'!L13:L18)=0,"",MAX('功能点评估（全栈）'!L13:L18))</f>
        <v>46316</v>
      </c>
      <c r="F7" s="13"/>
    </row>
    <row r="8" spans="1:6">
      <c r="A8" s="22" t="s">
        <v>17</v>
      </c>
      <c r="B8" s="13" t="s">
        <v>18</v>
      </c>
      <c r="C8" s="45">
        <f>SUMIF('功能点评估（全栈）'!$A$4:$A$69,$A8,'功能点评估（全栈）'!$H$4:$H$69)</f>
        <v>6.5</v>
      </c>
      <c r="D8" s="46">
        <f>IF(COUNT('功能点评估（全栈）'!K19:K23)=0,"",MIN('功能点评估（全栈）'!K19:K23))</f>
        <v>46275</v>
      </c>
      <c r="E8" s="46">
        <f>IF(COUNT('功能点评估（全栈）'!L19:L23)=0,"",MAX('功能点评估（全栈）'!L19:L23))</f>
        <v>46308</v>
      </c>
      <c r="F8" s="13"/>
    </row>
    <row r="9" ht="26" customHeight="1" spans="1:6">
      <c r="A9" s="22" t="s">
        <v>19</v>
      </c>
      <c r="B9" s="13" t="s">
        <v>20</v>
      </c>
      <c r="C9" s="45">
        <f>SUMIF('功能点评估（全栈）'!$A$4:$A$69,$A9,'功能点评估（全栈）'!$H$4:$H$69)</f>
        <v>27.5</v>
      </c>
      <c r="D9" s="46">
        <f>IF(COUNT('功能点评估（全栈）'!K24:K36)=0,"",MIN('功能点评估（全栈）'!K24:K36))</f>
        <v>46276</v>
      </c>
      <c r="E9" s="46">
        <f>IF(COUNT('功能点评估（全栈）'!L24:L36)=0,"",MAX('功能点评估（全栈）'!L24:L36))</f>
        <v>46342</v>
      </c>
      <c r="F9" s="13" t="s">
        <v>21</v>
      </c>
    </row>
    <row r="10" ht="26" customHeight="1" spans="1:6">
      <c r="A10" s="22" t="s">
        <v>22</v>
      </c>
      <c r="B10" s="13" t="s">
        <v>23</v>
      </c>
      <c r="C10" s="45">
        <f>SUMIF('功能点评估（全栈）'!$A$4:$A$69,$A10,'功能点评估（全栈）'!$H$4:$H$69)</f>
        <v>13.5</v>
      </c>
      <c r="D10" s="46">
        <f>IF(COUNT('功能点评估（全栈）'!K37:K42)=0,"",MIN('功能点评估（全栈）'!K37:K42))</f>
        <v>46307</v>
      </c>
      <c r="E10" s="46">
        <f>IF(COUNT('功能点评估（全栈）'!L37:L42)=0,"",MAX('功能点评估（全栈）'!L37:L42))</f>
        <v>46331</v>
      </c>
      <c r="F10" s="13" t="s">
        <v>24</v>
      </c>
    </row>
    <row r="11" spans="1:6">
      <c r="A11" s="22" t="s">
        <v>25</v>
      </c>
      <c r="B11" s="13" t="s">
        <v>26</v>
      </c>
      <c r="C11" s="45">
        <f>SUMIF('功能点评估（全栈）'!$A$4:$A$69,$A11,'功能点评估（全栈）'!$H$4:$H$69)</f>
        <v>9</v>
      </c>
      <c r="D11" s="46">
        <f>IF(COUNT('功能点评估（全栈）'!K43:K46)=0,"",MIN('功能点评估（全栈）'!K43:K46))</f>
        <v>46276</v>
      </c>
      <c r="E11" s="46">
        <f>IF(COUNT('功能点评估（全栈）'!L43:L46)=0,"",MAX('功能点评估（全栈）'!L43:L46))</f>
        <v>46343</v>
      </c>
      <c r="F11" s="13" t="s">
        <v>27</v>
      </c>
    </row>
    <row r="12" spans="1:6">
      <c r="A12" s="22" t="s">
        <v>28</v>
      </c>
      <c r="B12" s="13" t="s">
        <v>29</v>
      </c>
      <c r="C12" s="45">
        <f>SUMIF('功能点评估（全栈）'!$A$4:$A$69,$A12,'功能点评估（全栈）'!$H$4:$H$69)</f>
        <v>15.5</v>
      </c>
      <c r="D12" s="46">
        <f>IF(COUNT('功能点评估（全栈）'!K47:K53)=0,"",MIN('功能点评估（全栈）'!K47:K53))</f>
        <v>46282</v>
      </c>
      <c r="E12" s="46">
        <f>IF(COUNT('功能点评估（全栈）'!L47:L53)=0,"",MAX('功能点评估（全栈）'!L47:L53))</f>
        <v>46349</v>
      </c>
      <c r="F12" s="13" t="s">
        <v>30</v>
      </c>
    </row>
    <row r="13" spans="1:6">
      <c r="A13" s="22" t="s">
        <v>31</v>
      </c>
      <c r="B13" s="13" t="s">
        <v>32</v>
      </c>
      <c r="C13" s="45">
        <f>SUMIF('功能点评估（全栈）'!$A$4:$A$69,$A13,'功能点评估（全栈）'!$H$4:$H$69)</f>
        <v>2</v>
      </c>
      <c r="D13" s="46">
        <f>IF(COUNT('功能点评估（全栈）'!K54:K56)=0,"",MIN('功能点评估（全栈）'!K54:K56))</f>
        <v>46289</v>
      </c>
      <c r="E13" s="46">
        <f>IF(COUNT('功能点评估（全栈）'!L54:L56)=0,"",MAX('功能点评估（全栈）'!L54:L56))</f>
        <v>46342</v>
      </c>
      <c r="F13" s="13"/>
    </row>
    <row r="14" ht="26" customHeight="1" spans="1:6">
      <c r="A14" s="22" t="s">
        <v>33</v>
      </c>
      <c r="B14" s="13" t="s">
        <v>34</v>
      </c>
      <c r="C14" s="45">
        <f>SUMIF('功能点评估（全栈）'!$A$4:$A$69,$A14,'功能点评估（全栈）'!$H$4:$H$69)</f>
        <v>8</v>
      </c>
      <c r="D14" s="46">
        <f>IF(COUNT('功能点评估（全栈）'!K57:K61)=0,"",MIN('功能点评估（全栈）'!K57:K61))</f>
        <v>46286</v>
      </c>
      <c r="E14" s="46">
        <f>IF(COUNT('功能点评估（全栈）'!L57:L61)=0,"",MAX('功能点评估（全栈）'!L57:L61))</f>
        <v>46336</v>
      </c>
      <c r="F14" s="13" t="s">
        <v>35</v>
      </c>
    </row>
    <row r="15" spans="1:6">
      <c r="A15" s="22" t="s">
        <v>36</v>
      </c>
      <c r="B15" s="13" t="s">
        <v>37</v>
      </c>
      <c r="C15" s="45">
        <f>SUMIF('功能点评估（全栈）'!$A$4:$A$69,$A15,'功能点评估（全栈）'!$H$4:$H$69)</f>
        <v>17</v>
      </c>
      <c r="D15" s="46">
        <f>IF(COUNT('功能点评估（全栈）'!K62:K63)=0,"",MIN('功能点评估（全栈）'!K62:K63))</f>
        <v>46303</v>
      </c>
      <c r="E15" s="46">
        <f>IF(COUNT('功能点评估（全栈）'!L62:L63)=0,"",MAX('功能点评估（全栈）'!L62:L63))</f>
        <v>46360</v>
      </c>
      <c r="F15" s="13" t="s">
        <v>38</v>
      </c>
    </row>
    <row r="16" spans="1:6">
      <c r="A16" s="22" t="s">
        <v>39</v>
      </c>
      <c r="B16" s="13" t="s">
        <v>40</v>
      </c>
      <c r="C16" s="45">
        <f>SUMIF('功能点评估（全栈）'!$A$4:$A$69,$A16,'功能点评估（全栈）'!$H$4:$H$69)</f>
        <v>13</v>
      </c>
      <c r="D16" s="46">
        <f>IF(COUNT('功能点评估（全栈）'!K64:K66)=0,"",MIN('功能点评估（全栈）'!K64:K66))</f>
        <v>46303</v>
      </c>
      <c r="E16" s="46">
        <f>IF(COUNT('功能点评估（全栈）'!L64:L66)=0,"",MAX('功能点评估（全栈）'!L64:L66))</f>
        <v>46360</v>
      </c>
      <c r="F16" s="13" t="s">
        <v>41</v>
      </c>
    </row>
    <row r="17" spans="1:6">
      <c r="A17" s="22" t="s">
        <v>42</v>
      </c>
      <c r="B17" s="13" t="s">
        <v>43</v>
      </c>
      <c r="C17" s="45">
        <f>SUMIF('功能点评估（全栈）'!$A$4:$A$69,$A17,'功能点评估（全栈）'!$H$4:$H$69)</f>
        <v>15</v>
      </c>
      <c r="D17" s="46">
        <f>IF(COUNT('功能点评估（全栈）'!K67:K69)=0,"",MIN('功能点评估（全栈）'!K67:K69))</f>
        <v>46308</v>
      </c>
      <c r="E17" s="46">
        <f>IF(COUNT('功能点评估（全栈）'!L67:L69)=0,"",MAX('功能点评估（全栈）'!L67:L69))</f>
        <v>46374</v>
      </c>
      <c r="F17" s="13" t="s">
        <v>44</v>
      </c>
    </row>
    <row r="18" ht="15.5" customHeight="1" spans="1:6">
      <c r="A18" s="33"/>
      <c r="B18" s="33" t="s">
        <v>45</v>
      </c>
      <c r="C18" s="34">
        <f>SUM(C4:C17)</f>
        <v>149</v>
      </c>
      <c r="D18" s="47">
        <f>IF(COUNT(D4:D17)=0,"",MIN(D4:D17))</f>
        <v>46272</v>
      </c>
      <c r="E18" s="47">
        <f>IF(COUNT(E4:E17)=0,"",MAX(E4:E17))</f>
        <v>46374</v>
      </c>
      <c r="F18" s="33"/>
    </row>
    <row r="20" ht="15.5" customHeight="1" spans="1:6">
      <c r="A20" s="48" t="s">
        <v>46</v>
      </c>
    </row>
    <row r="21" ht="14.5" customHeight="1" spans="1:6">
      <c r="A21" s="15" t="s">
        <v>47</v>
      </c>
      <c r="B21" s="15" t="s">
        <v>48</v>
      </c>
      <c r="C21" s="15" t="s">
        <v>3</v>
      </c>
      <c r="D21" s="15" t="s">
        <v>4</v>
      </c>
      <c r="E21" s="15" t="s">
        <v>5</v>
      </c>
      <c r="F21" s="15"/>
    </row>
    <row r="22" ht="65" customHeight="1" spans="1:6">
      <c r="A22" s="7" t="s">
        <v>49</v>
      </c>
      <c r="B22" s="13" t="s">
        <v>50</v>
      </c>
      <c r="C22" s="45">
        <f>SUMIF('功能点评估（全栈）'!$G$4:$G$69,$A22,'功能点评估（全栈）'!$H$4:$H$69)</f>
        <v>12.5</v>
      </c>
      <c r="D22" s="18" t="s">
        <v>51</v>
      </c>
      <c r="E22" s="18" t="s">
        <v>52</v>
      </c>
      <c r="F22" s="13"/>
    </row>
    <row r="23" ht="104" customHeight="1" spans="1:6">
      <c r="A23" s="26" t="s">
        <v>53</v>
      </c>
      <c r="B23" s="13" t="s">
        <v>54</v>
      </c>
      <c r="C23" s="45">
        <f>SUMIF('功能点评估（全栈）'!$G$4:$G$69,$A23,'功能点评估（全栈）'!$H$4:$H$69)</f>
        <v>32.5</v>
      </c>
      <c r="D23" s="18" t="s">
        <v>55</v>
      </c>
      <c r="E23" s="18" t="s">
        <v>56</v>
      </c>
      <c r="F23" s="13"/>
    </row>
    <row r="24" ht="78" customHeight="1" spans="1:6">
      <c r="A24" s="27" t="s">
        <v>57</v>
      </c>
      <c r="B24" s="13" t="s">
        <v>58</v>
      </c>
      <c r="C24" s="45">
        <f>SUMIF('功能点评估（全栈）'!$G$4:$G$69,$A24,'功能点评估（全栈）'!$H$4:$H$69)</f>
        <v>39</v>
      </c>
      <c r="D24" s="18" t="s">
        <v>59</v>
      </c>
      <c r="E24" s="18" t="s">
        <v>60</v>
      </c>
      <c r="F24" s="13"/>
    </row>
    <row r="25" ht="78" customHeight="1" spans="1:6">
      <c r="A25" s="31" t="s">
        <v>61</v>
      </c>
      <c r="B25" s="13" t="s">
        <v>62</v>
      </c>
      <c r="C25" s="45">
        <f>SUMIF('功能点评估（全栈）'!$G$4:$G$69,$A25,'功能点评估（全栈）'!$H$4:$H$69)</f>
        <v>20</v>
      </c>
      <c r="D25" s="18" t="s">
        <v>63</v>
      </c>
      <c r="E25" s="18" t="s">
        <v>64</v>
      </c>
      <c r="F25" s="13"/>
    </row>
    <row r="26" ht="52" customHeight="1" spans="1:6">
      <c r="A26" s="7" t="s">
        <v>65</v>
      </c>
      <c r="B26" s="13" t="s">
        <v>66</v>
      </c>
      <c r="C26" s="45">
        <f>SUMIF('功能点评估（全栈）'!$G$4:$G$69,$A26,'功能点评估（全栈）'!$H$4:$H$69)</f>
        <v>45</v>
      </c>
      <c r="D26" s="18" t="s">
        <v>67</v>
      </c>
      <c r="E26" s="18" t="s">
        <v>68</v>
      </c>
      <c r="F26" s="13"/>
    </row>
    <row r="27" ht="27" customHeight="1" spans="1:6">
      <c r="A27" s="33"/>
      <c r="B27" s="33" t="s">
        <v>69</v>
      </c>
      <c r="C27" s="34">
        <f>SUM(C22:C26)</f>
        <v>149</v>
      </c>
      <c r="D27" s="34" t="str">
        <f>IF(C27=C18,"✓ 一致","✗ 不一致")</f>
        <v>✓ 一致</v>
      </c>
      <c r="E27" s="33"/>
      <c r="F27" s="33"/>
    </row>
    <row r="29" ht="15.5" customHeight="1" spans="1:6">
      <c r="A29" s="48" t="s">
        <v>70</v>
      </c>
    </row>
    <row r="30" ht="15" customHeight="1" spans="1:6">
      <c r="A30" s="49" t="s">
        <v>71</v>
      </c>
      <c r="C30" s="50">
        <v>0.15</v>
      </c>
      <c r="D30" s="21" t="s">
        <v>72</v>
      </c>
    </row>
    <row r="31" ht="15" customHeight="1" spans="1:6">
      <c r="A31" s="49" t="s">
        <v>73</v>
      </c>
      <c r="C31" s="50">
        <v>3</v>
      </c>
      <c r="D31" s="21" t="s">
        <v>74</v>
      </c>
    </row>
    <row r="32" ht="15" customHeight="1" spans="1:6">
      <c r="A32" s="49" t="s">
        <v>75</v>
      </c>
      <c r="C32" s="7">
        <v>21</v>
      </c>
      <c r="D32" s="21" t="s">
        <v>76</v>
      </c>
    </row>
    <row r="33" ht="15" customHeight="1" spans="1:4">
      <c r="A33" s="49" t="s">
        <v>77</v>
      </c>
      <c r="C33" s="34">
        <f>C18*(1+C30)</f>
        <v>171.35</v>
      </c>
      <c r="D33" s="21" t="s">
        <v>78</v>
      </c>
    </row>
    <row r="34" ht="15" customHeight="1" spans="1:4">
      <c r="A34" s="49" t="s">
        <v>79</v>
      </c>
      <c r="C34" s="34">
        <f>C33/(C32*C31)</f>
        <v>2.71984126984127</v>
      </c>
      <c r="D34" s="21" t="s">
        <v>80</v>
      </c>
    </row>
    <row r="35" ht="15" customHeight="1" spans="1:4">
      <c r="A35" s="49" t="s">
        <v>81</v>
      </c>
      <c r="C35" s="34">
        <f>ROUND(C34*4.33,1)</f>
        <v>11.8</v>
      </c>
      <c r="D35" s="21" t="s">
        <v>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showGridLines="0" workbookViewId="0">
      <pane ySplit="3" topLeftCell="A28" activePane="bottomLeft" state="frozen"/>
      <selection/>
      <selection pane="bottomLeft" activeCell="A1" sqref="A1"/>
    </sheetView>
  </sheetViews>
  <sheetFormatPr defaultColWidth="9" defaultRowHeight="14"/>
  <cols>
    <col min="1" max="1" width="6" customWidth="1"/>
    <col min="2" max="2" width="15" customWidth="1"/>
    <col min="3" max="3" width="11" customWidth="1"/>
    <col min="4" max="4" width="38" customWidth="1"/>
    <col min="5" max="5" width="6" customWidth="1"/>
    <col min="6" max="6" width="26" customWidth="1"/>
    <col min="7" max="8" width="7" customWidth="1"/>
    <col min="9" max="9" width="12" customWidth="1"/>
    <col min="10" max="10" width="9" customWidth="1"/>
    <col min="11" max="12" width="12" customWidth="1"/>
    <col min="13" max="13" width="34" customWidth="1"/>
  </cols>
  <sheetData>
    <row r="1" ht="18" customHeight="1" spans="1:13">
      <c r="A1" s="20" t="s">
        <v>83</v>
      </c>
    </row>
    <row r="2" ht="15" customHeight="1" spans="1:13">
      <c r="A2" s="21" t="s">
        <v>84</v>
      </c>
    </row>
    <row r="3" ht="30" customHeight="1" spans="1:13">
      <c r="A3" s="15" t="s">
        <v>1</v>
      </c>
      <c r="B3" s="15" t="s">
        <v>2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47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93</v>
      </c>
      <c r="M3" s="15" t="s">
        <v>94</v>
      </c>
    </row>
    <row r="4" ht="26" customHeight="1" spans="1:13">
      <c r="A4" s="22" t="s">
        <v>7</v>
      </c>
      <c r="B4" s="13" t="s">
        <v>8</v>
      </c>
      <c r="C4" s="18" t="s">
        <v>95</v>
      </c>
      <c r="D4" s="13" t="s">
        <v>96</v>
      </c>
      <c r="E4" s="18" t="s">
        <v>97</v>
      </c>
      <c r="F4" s="13" t="s">
        <v>98</v>
      </c>
      <c r="G4" s="7" t="s">
        <v>49</v>
      </c>
      <c r="H4" s="23">
        <v>1.5</v>
      </c>
      <c r="I4" s="23">
        <f>H4*(1+汇总!$C$30)</f>
        <v>1.725</v>
      </c>
      <c r="J4" s="24" t="s">
        <v>99</v>
      </c>
      <c r="K4" s="25">
        <v>46272</v>
      </c>
      <c r="L4" s="25">
        <v>46273</v>
      </c>
      <c r="M4" s="13" t="s">
        <v>100</v>
      </c>
    </row>
    <row r="5" ht="52" customHeight="1" spans="1:13">
      <c r="A5" s="22" t="s">
        <v>7</v>
      </c>
      <c r="B5" s="13" t="s">
        <v>8</v>
      </c>
      <c r="C5" s="18" t="s">
        <v>95</v>
      </c>
      <c r="D5" s="13" t="s">
        <v>101</v>
      </c>
      <c r="E5" s="18" t="s">
        <v>97</v>
      </c>
      <c r="F5" s="13" t="s">
        <v>95</v>
      </c>
      <c r="G5" s="7" t="s">
        <v>49</v>
      </c>
      <c r="H5" s="23">
        <v>2</v>
      </c>
      <c r="I5" s="23">
        <f>H5*(1+汇总!$C$30)</f>
        <v>2.3</v>
      </c>
      <c r="J5" s="24" t="s">
        <v>99</v>
      </c>
      <c r="K5" s="25">
        <v>46274</v>
      </c>
      <c r="L5" s="25">
        <v>46275</v>
      </c>
      <c r="M5" s="13" t="s">
        <v>102</v>
      </c>
    </row>
    <row r="6" spans="1:13">
      <c r="A6" s="22" t="s">
        <v>7</v>
      </c>
      <c r="B6" s="13" t="s">
        <v>8</v>
      </c>
      <c r="C6" s="18" t="s">
        <v>95</v>
      </c>
      <c r="D6" s="13" t="s">
        <v>103</v>
      </c>
      <c r="E6" s="18" t="s">
        <v>104</v>
      </c>
      <c r="F6" s="13" t="s">
        <v>98</v>
      </c>
      <c r="G6" s="7" t="s">
        <v>49</v>
      </c>
      <c r="H6" s="23">
        <v>1.5</v>
      </c>
      <c r="I6" s="23">
        <f>H6*(1+汇总!$C$30)</f>
        <v>1.725</v>
      </c>
      <c r="J6" s="24" t="s">
        <v>99</v>
      </c>
      <c r="K6" s="25">
        <v>46274</v>
      </c>
      <c r="L6" s="25">
        <v>46275</v>
      </c>
      <c r="M6" s="13"/>
    </row>
    <row r="7" ht="52" customHeight="1" spans="1:13">
      <c r="A7" s="22" t="s">
        <v>7</v>
      </c>
      <c r="B7" s="13" t="s">
        <v>8</v>
      </c>
      <c r="C7" s="18" t="s">
        <v>95</v>
      </c>
      <c r="D7" s="13" t="s">
        <v>105</v>
      </c>
      <c r="E7" s="18" t="s">
        <v>104</v>
      </c>
      <c r="F7" s="13" t="s">
        <v>98</v>
      </c>
      <c r="G7" s="7" t="s">
        <v>49</v>
      </c>
      <c r="H7" s="23">
        <v>1</v>
      </c>
      <c r="I7" s="23">
        <f>H7*(1+汇总!$C$30)</f>
        <v>1.15</v>
      </c>
      <c r="J7" s="24" t="s">
        <v>99</v>
      </c>
      <c r="K7" s="25">
        <v>46276</v>
      </c>
      <c r="L7" s="25">
        <v>46276</v>
      </c>
      <c r="M7" s="13" t="s">
        <v>106</v>
      </c>
    </row>
    <row r="8" ht="26" customHeight="1" spans="1:13">
      <c r="A8" s="22" t="s">
        <v>10</v>
      </c>
      <c r="B8" s="13" t="s">
        <v>11</v>
      </c>
      <c r="C8" s="18" t="s">
        <v>95</v>
      </c>
      <c r="D8" s="13" t="s">
        <v>107</v>
      </c>
      <c r="E8" s="18" t="s">
        <v>108</v>
      </c>
      <c r="F8" s="13" t="s">
        <v>109</v>
      </c>
      <c r="G8" s="7" t="s">
        <v>49</v>
      </c>
      <c r="H8" s="23">
        <v>0.5</v>
      </c>
      <c r="I8" s="23">
        <f>H8*(1+汇总!$C$30)</f>
        <v>0.575</v>
      </c>
      <c r="J8" s="24" t="s">
        <v>99</v>
      </c>
      <c r="K8" s="25">
        <v>46275</v>
      </c>
      <c r="L8" s="25">
        <v>46275</v>
      </c>
      <c r="M8" s="13" t="s">
        <v>110</v>
      </c>
    </row>
    <row r="9" ht="39" customHeight="1" spans="1:13">
      <c r="A9" s="22" t="s">
        <v>10</v>
      </c>
      <c r="B9" s="13" t="s">
        <v>11</v>
      </c>
      <c r="C9" s="18" t="s">
        <v>95</v>
      </c>
      <c r="D9" s="13" t="s">
        <v>111</v>
      </c>
      <c r="E9" s="18" t="s">
        <v>108</v>
      </c>
      <c r="F9" s="13" t="s">
        <v>112</v>
      </c>
      <c r="G9" s="7" t="s">
        <v>49</v>
      </c>
      <c r="H9" s="23">
        <v>0.5</v>
      </c>
      <c r="I9" s="23">
        <f>H9*(1+汇总!$C$30)</f>
        <v>0.575</v>
      </c>
      <c r="J9" s="24" t="s">
        <v>99</v>
      </c>
      <c r="K9" s="25">
        <v>46276</v>
      </c>
      <c r="L9" s="25">
        <v>46276</v>
      </c>
      <c r="M9" s="13" t="s">
        <v>113</v>
      </c>
    </row>
    <row r="10" ht="26" customHeight="1" spans="1:13">
      <c r="A10" s="22" t="s">
        <v>13</v>
      </c>
      <c r="B10" s="13" t="s">
        <v>14</v>
      </c>
      <c r="C10" s="18" t="s">
        <v>95</v>
      </c>
      <c r="D10" s="13" t="s">
        <v>114</v>
      </c>
      <c r="E10" s="18" t="s">
        <v>115</v>
      </c>
      <c r="F10" s="13" t="s">
        <v>95</v>
      </c>
      <c r="G10" s="7" t="s">
        <v>49</v>
      </c>
      <c r="H10" s="23">
        <v>1.5</v>
      </c>
      <c r="I10" s="23">
        <f>H10*(1+汇总!$C$30)</f>
        <v>1.725</v>
      </c>
      <c r="J10" s="24" t="s">
        <v>116</v>
      </c>
      <c r="K10" s="25">
        <v>46272</v>
      </c>
      <c r="L10" s="25">
        <v>46273</v>
      </c>
      <c r="M10" s="13" t="s">
        <v>117</v>
      </c>
    </row>
    <row r="11" ht="39" customHeight="1" spans="1:13">
      <c r="A11" s="22" t="s">
        <v>13</v>
      </c>
      <c r="B11" s="13" t="s">
        <v>14</v>
      </c>
      <c r="C11" s="18" t="s">
        <v>95</v>
      </c>
      <c r="D11" s="13" t="s">
        <v>118</v>
      </c>
      <c r="E11" s="18" t="s">
        <v>115</v>
      </c>
      <c r="F11" s="13" t="s">
        <v>95</v>
      </c>
      <c r="G11" s="7" t="s">
        <v>49</v>
      </c>
      <c r="H11" s="23">
        <v>0.5</v>
      </c>
      <c r="I11" s="23">
        <f>H11*(1+汇总!$C$30)</f>
        <v>0.575</v>
      </c>
      <c r="J11" s="24" t="s">
        <v>116</v>
      </c>
      <c r="K11" s="25">
        <v>46274</v>
      </c>
      <c r="L11" s="25">
        <v>46274</v>
      </c>
      <c r="M11" s="13" t="s">
        <v>119</v>
      </c>
    </row>
    <row r="12" ht="26" customHeight="1" spans="1:13">
      <c r="A12" s="22" t="s">
        <v>13</v>
      </c>
      <c r="B12" s="13" t="s">
        <v>14</v>
      </c>
      <c r="C12" s="18" t="s">
        <v>95</v>
      </c>
      <c r="D12" s="13" t="s">
        <v>120</v>
      </c>
      <c r="E12" s="18" t="s">
        <v>115</v>
      </c>
      <c r="F12" s="13" t="s">
        <v>121</v>
      </c>
      <c r="G12" s="7" t="s">
        <v>49</v>
      </c>
      <c r="H12" s="23">
        <v>3.5</v>
      </c>
      <c r="I12" s="23">
        <f>H12*(1+汇总!$C$30)</f>
        <v>4.025</v>
      </c>
      <c r="J12" s="24" t="s">
        <v>116</v>
      </c>
      <c r="K12" s="25">
        <v>46274</v>
      </c>
      <c r="L12" s="25">
        <v>46275</v>
      </c>
      <c r="M12" s="13" t="s">
        <v>122</v>
      </c>
    </row>
    <row r="13" spans="1:13">
      <c r="A13" s="22" t="s">
        <v>15</v>
      </c>
      <c r="B13" s="13" t="s">
        <v>16</v>
      </c>
      <c r="C13" s="18" t="s">
        <v>123</v>
      </c>
      <c r="D13" s="13" t="s">
        <v>124</v>
      </c>
      <c r="E13" s="18" t="s">
        <v>115</v>
      </c>
      <c r="F13" s="13" t="s">
        <v>125</v>
      </c>
      <c r="G13" s="26" t="s">
        <v>53</v>
      </c>
      <c r="H13" s="23">
        <v>1.5</v>
      </c>
      <c r="I13" s="23">
        <f>H13*(1+汇总!$C$30)</f>
        <v>1.725</v>
      </c>
      <c r="J13" s="24" t="s">
        <v>116</v>
      </c>
      <c r="K13" s="25">
        <v>46275</v>
      </c>
      <c r="L13" s="25">
        <v>46276</v>
      </c>
      <c r="M13" s="13"/>
    </row>
    <row r="14" spans="1:13">
      <c r="A14" s="22" t="s">
        <v>15</v>
      </c>
      <c r="B14" s="13" t="s">
        <v>16</v>
      </c>
      <c r="C14" s="18" t="s">
        <v>126</v>
      </c>
      <c r="D14" s="13" t="s">
        <v>127</v>
      </c>
      <c r="E14" s="18" t="s">
        <v>115</v>
      </c>
      <c r="F14" s="13" t="s">
        <v>128</v>
      </c>
      <c r="G14" s="26" t="s">
        <v>53</v>
      </c>
      <c r="H14" s="23">
        <v>2</v>
      </c>
      <c r="I14" s="23">
        <f>H14*(1+汇总!$C$30)</f>
        <v>2.3</v>
      </c>
      <c r="J14" s="24" t="s">
        <v>116</v>
      </c>
      <c r="K14" s="25">
        <v>46279</v>
      </c>
      <c r="L14" s="25">
        <v>46280</v>
      </c>
      <c r="M14" s="13"/>
    </row>
    <row r="15" spans="1:13">
      <c r="A15" s="22" t="s">
        <v>15</v>
      </c>
      <c r="B15" s="13" t="s">
        <v>16</v>
      </c>
      <c r="C15" s="18" t="s">
        <v>129</v>
      </c>
      <c r="D15" s="13" t="s">
        <v>130</v>
      </c>
      <c r="E15" s="18" t="s">
        <v>115</v>
      </c>
      <c r="F15" s="13" t="s">
        <v>131</v>
      </c>
      <c r="G15" s="26" t="s">
        <v>53</v>
      </c>
      <c r="H15" s="23">
        <v>1</v>
      </c>
      <c r="I15" s="23">
        <f>H15*(1+汇总!$C$30)</f>
        <v>1.15</v>
      </c>
      <c r="J15" s="24" t="s">
        <v>116</v>
      </c>
      <c r="K15" s="25">
        <v>46281</v>
      </c>
      <c r="L15" s="25">
        <v>46281</v>
      </c>
      <c r="M15" s="13"/>
    </row>
    <row r="16" spans="1:13">
      <c r="A16" s="22" t="s">
        <v>15</v>
      </c>
      <c r="B16" s="13" t="s">
        <v>16</v>
      </c>
      <c r="C16" s="18" t="s">
        <v>132</v>
      </c>
      <c r="D16" s="13" t="s">
        <v>133</v>
      </c>
      <c r="E16" s="18" t="s">
        <v>115</v>
      </c>
      <c r="F16" s="13" t="s">
        <v>134</v>
      </c>
      <c r="G16" s="26" t="s">
        <v>53</v>
      </c>
      <c r="H16" s="23">
        <v>1</v>
      </c>
      <c r="I16" s="23">
        <f>H16*(1+汇总!$C$30)</f>
        <v>1.15</v>
      </c>
      <c r="J16" s="24" t="s">
        <v>116</v>
      </c>
      <c r="K16" s="25">
        <v>46282</v>
      </c>
      <c r="L16" s="25">
        <v>46282</v>
      </c>
      <c r="M16" s="13"/>
    </row>
    <row r="17" ht="26" customHeight="1" spans="1:13">
      <c r="A17" s="22" t="s">
        <v>15</v>
      </c>
      <c r="B17" s="13" t="s">
        <v>16</v>
      </c>
      <c r="C17" s="18" t="s">
        <v>135</v>
      </c>
      <c r="D17" s="13" t="s">
        <v>136</v>
      </c>
      <c r="E17" s="18" t="s">
        <v>115</v>
      </c>
      <c r="F17" s="13" t="s">
        <v>137</v>
      </c>
      <c r="G17" s="27" t="s">
        <v>57</v>
      </c>
      <c r="H17" s="23">
        <v>3</v>
      </c>
      <c r="I17" s="23">
        <f>H17*(1+汇总!$C$30)</f>
        <v>3.45</v>
      </c>
      <c r="J17" s="24" t="s">
        <v>116</v>
      </c>
      <c r="K17" s="25">
        <v>46314</v>
      </c>
      <c r="L17" s="25">
        <v>46316</v>
      </c>
      <c r="M17" s="13" t="s">
        <v>138</v>
      </c>
    </row>
    <row r="18" ht="39" customHeight="1" spans="1:13">
      <c r="A18" s="22" t="s">
        <v>15</v>
      </c>
      <c r="B18" s="13" t="s">
        <v>16</v>
      </c>
      <c r="C18" s="18" t="s">
        <v>139</v>
      </c>
      <c r="D18" s="13" t="s">
        <v>140</v>
      </c>
      <c r="E18" s="18" t="s">
        <v>115</v>
      </c>
      <c r="F18" s="13" t="s">
        <v>141</v>
      </c>
      <c r="G18" s="26" t="s">
        <v>53</v>
      </c>
      <c r="H18" s="23">
        <v>1</v>
      </c>
      <c r="I18" s="23">
        <f>H18*(1+汇总!$C$30)</f>
        <v>1.15</v>
      </c>
      <c r="J18" s="24" t="s">
        <v>116</v>
      </c>
      <c r="K18" s="25">
        <v>46283</v>
      </c>
      <c r="L18" s="25">
        <v>46283</v>
      </c>
      <c r="M18" s="13" t="s">
        <v>142</v>
      </c>
    </row>
    <row r="19" spans="1:13">
      <c r="A19" s="22" t="s">
        <v>17</v>
      </c>
      <c r="B19" s="13" t="s">
        <v>18</v>
      </c>
      <c r="C19" s="18" t="s">
        <v>143</v>
      </c>
      <c r="D19" s="13" t="s">
        <v>144</v>
      </c>
      <c r="E19" s="18" t="s">
        <v>115</v>
      </c>
      <c r="F19" s="13" t="s">
        <v>145</v>
      </c>
      <c r="G19" s="26" t="s">
        <v>53</v>
      </c>
      <c r="H19" s="23">
        <v>0.5</v>
      </c>
      <c r="I19" s="23">
        <f>H19*(1+汇总!$C$30)</f>
        <v>0.575</v>
      </c>
      <c r="J19" s="24" t="s">
        <v>116</v>
      </c>
      <c r="K19" s="25">
        <v>46275</v>
      </c>
      <c r="L19" s="25">
        <v>46275</v>
      </c>
      <c r="M19" s="13"/>
    </row>
    <row r="20" spans="1:13">
      <c r="A20" s="22" t="s">
        <v>17</v>
      </c>
      <c r="B20" s="13" t="s">
        <v>18</v>
      </c>
      <c r="C20" s="18" t="s">
        <v>146</v>
      </c>
      <c r="D20" s="13" t="s">
        <v>147</v>
      </c>
      <c r="E20" s="18" t="s">
        <v>115</v>
      </c>
      <c r="F20" s="13" t="s">
        <v>148</v>
      </c>
      <c r="G20" s="26" t="s">
        <v>53</v>
      </c>
      <c r="H20" s="23">
        <v>1</v>
      </c>
      <c r="I20" s="23">
        <f>H20*(1+汇总!$C$30)</f>
        <v>1.15</v>
      </c>
      <c r="J20" s="24" t="s">
        <v>116</v>
      </c>
      <c r="K20" s="25">
        <v>46276</v>
      </c>
      <c r="L20" s="25">
        <v>46276</v>
      </c>
      <c r="M20" s="13"/>
    </row>
    <row r="21" ht="78" customHeight="1" spans="1:13">
      <c r="A21" s="22" t="s">
        <v>17</v>
      </c>
      <c r="B21" s="13" t="s">
        <v>18</v>
      </c>
      <c r="C21" s="18" t="s">
        <v>149</v>
      </c>
      <c r="D21" s="13" t="s">
        <v>150</v>
      </c>
      <c r="E21" s="18" t="s">
        <v>115</v>
      </c>
      <c r="F21" s="13" t="s">
        <v>151</v>
      </c>
      <c r="G21" s="27" t="s">
        <v>57</v>
      </c>
      <c r="H21" s="23">
        <v>1.5</v>
      </c>
      <c r="I21" s="23">
        <f>H21*(1+汇总!$C$30)</f>
        <v>1.725</v>
      </c>
      <c r="J21" s="24" t="s">
        <v>116</v>
      </c>
      <c r="K21" s="25">
        <v>46290</v>
      </c>
      <c r="L21" s="25">
        <v>46293</v>
      </c>
      <c r="M21" s="13" t="s">
        <v>152</v>
      </c>
    </row>
    <row r="22" ht="78" customHeight="1" spans="1:13">
      <c r="A22" s="22" t="s">
        <v>17</v>
      </c>
      <c r="B22" s="13" t="s">
        <v>18</v>
      </c>
      <c r="C22" s="18" t="s">
        <v>153</v>
      </c>
      <c r="D22" s="13" t="s">
        <v>154</v>
      </c>
      <c r="E22" s="18" t="s">
        <v>115</v>
      </c>
      <c r="F22" s="13" t="s">
        <v>155</v>
      </c>
      <c r="G22" s="27" t="s">
        <v>57</v>
      </c>
      <c r="H22" s="23">
        <v>1.5</v>
      </c>
      <c r="I22" s="23">
        <f>H22*(1+汇总!$C$30)</f>
        <v>1.725</v>
      </c>
      <c r="J22" s="24" t="s">
        <v>116</v>
      </c>
      <c r="K22" s="25">
        <v>46294</v>
      </c>
      <c r="L22" s="25">
        <v>46295</v>
      </c>
      <c r="M22" s="13" t="s">
        <v>152</v>
      </c>
    </row>
    <row r="23" ht="26" customHeight="1" spans="1:13">
      <c r="A23" s="22" t="s">
        <v>17</v>
      </c>
      <c r="B23" s="13" t="s">
        <v>18</v>
      </c>
      <c r="C23" s="28" t="s">
        <v>156</v>
      </c>
      <c r="D23" s="29" t="s">
        <v>157</v>
      </c>
      <c r="E23" s="18" t="s">
        <v>115</v>
      </c>
      <c r="F23" s="29" t="s">
        <v>158</v>
      </c>
      <c r="G23" s="27" t="s">
        <v>57</v>
      </c>
      <c r="H23" s="23">
        <v>2</v>
      </c>
      <c r="I23" s="23">
        <f>H23*(1+汇总!$C$30)</f>
        <v>2.3</v>
      </c>
      <c r="J23" s="24" t="s">
        <v>116</v>
      </c>
      <c r="K23" s="25">
        <v>46304</v>
      </c>
      <c r="L23" s="25">
        <v>46308</v>
      </c>
      <c r="M23" s="13" t="s">
        <v>159</v>
      </c>
    </row>
    <row r="24" ht="26" customHeight="1" spans="1:13">
      <c r="A24" s="22" t="s">
        <v>19</v>
      </c>
      <c r="B24" s="13" t="s">
        <v>20</v>
      </c>
      <c r="C24" s="18" t="s">
        <v>160</v>
      </c>
      <c r="D24" s="13" t="s">
        <v>161</v>
      </c>
      <c r="E24" s="18" t="s">
        <v>115</v>
      </c>
      <c r="F24" s="13" t="s">
        <v>162</v>
      </c>
      <c r="G24" s="26" t="s">
        <v>53</v>
      </c>
      <c r="H24" s="23">
        <v>2</v>
      </c>
      <c r="I24" s="23">
        <f>H24*(1+汇总!$C$30)</f>
        <v>2.3</v>
      </c>
      <c r="J24" s="24" t="s">
        <v>116</v>
      </c>
      <c r="K24" s="25">
        <v>46276</v>
      </c>
      <c r="L24" s="25">
        <v>46279</v>
      </c>
      <c r="M24" s="13" t="s">
        <v>163</v>
      </c>
    </row>
    <row r="25" ht="26" customHeight="1" spans="1:13">
      <c r="A25" s="22" t="s">
        <v>19</v>
      </c>
      <c r="B25" s="13" t="s">
        <v>20</v>
      </c>
      <c r="C25" s="18" t="s">
        <v>164</v>
      </c>
      <c r="D25" s="30" t="s">
        <v>165</v>
      </c>
      <c r="E25" s="18" t="s">
        <v>115</v>
      </c>
      <c r="F25" s="13" t="s">
        <v>166</v>
      </c>
      <c r="G25" s="27" t="s">
        <v>57</v>
      </c>
      <c r="H25" s="23">
        <v>4</v>
      </c>
      <c r="I25" s="23">
        <f>H25*(1+汇总!$C$30)</f>
        <v>4.6</v>
      </c>
      <c r="J25" s="24" t="s">
        <v>116</v>
      </c>
      <c r="K25" s="25">
        <v>46314</v>
      </c>
      <c r="L25" s="25">
        <v>46318</v>
      </c>
      <c r="M25" s="13" t="s">
        <v>167</v>
      </c>
    </row>
    <row r="26" spans="1:13">
      <c r="A26" s="22" t="s">
        <v>19</v>
      </c>
      <c r="B26" s="13" t="s">
        <v>20</v>
      </c>
      <c r="C26" s="18" t="s">
        <v>168</v>
      </c>
      <c r="D26" s="13" t="s">
        <v>169</v>
      </c>
      <c r="E26" s="18" t="s">
        <v>115</v>
      </c>
      <c r="F26" s="13" t="s">
        <v>170</v>
      </c>
      <c r="G26" s="27" t="s">
        <v>57</v>
      </c>
      <c r="H26" s="23">
        <v>2</v>
      </c>
      <c r="I26" s="23">
        <f>H26*(1+汇总!$C$30)</f>
        <v>2.3</v>
      </c>
      <c r="J26" s="24" t="s">
        <v>116</v>
      </c>
      <c r="K26" s="25">
        <v>46321</v>
      </c>
      <c r="L26" s="25">
        <v>46322</v>
      </c>
      <c r="M26" s="13"/>
    </row>
    <row r="27" ht="26" customHeight="1" spans="1:13">
      <c r="A27" s="22" t="s">
        <v>19</v>
      </c>
      <c r="B27" s="13" t="s">
        <v>20</v>
      </c>
      <c r="C27" s="18" t="s">
        <v>171</v>
      </c>
      <c r="D27" s="13" t="s">
        <v>172</v>
      </c>
      <c r="E27" s="18" t="s">
        <v>115</v>
      </c>
      <c r="F27" s="13" t="s">
        <v>173</v>
      </c>
      <c r="G27" s="27" t="s">
        <v>57</v>
      </c>
      <c r="H27" s="23">
        <v>2</v>
      </c>
      <c r="I27" s="23">
        <f>H27*(1+汇总!$C$30)</f>
        <v>2.3</v>
      </c>
      <c r="J27" s="24" t="s">
        <v>116</v>
      </c>
      <c r="K27" s="25">
        <v>46323</v>
      </c>
      <c r="L27" s="25">
        <v>46324</v>
      </c>
      <c r="M27" s="13" t="s">
        <v>174</v>
      </c>
    </row>
    <row r="28" ht="78" customHeight="1" spans="1:13">
      <c r="A28" s="22" t="s">
        <v>19</v>
      </c>
      <c r="B28" s="13" t="s">
        <v>20</v>
      </c>
      <c r="C28" s="18" t="s">
        <v>175</v>
      </c>
      <c r="D28" s="13" t="s">
        <v>176</v>
      </c>
      <c r="E28" s="18" t="s">
        <v>115</v>
      </c>
      <c r="F28" s="13" t="s">
        <v>177</v>
      </c>
      <c r="G28" s="27" t="s">
        <v>57</v>
      </c>
      <c r="H28" s="23">
        <v>3</v>
      </c>
      <c r="I28" s="23">
        <f>H28*(1+汇总!$C$30)</f>
        <v>3.45</v>
      </c>
      <c r="J28" s="24" t="s">
        <v>116</v>
      </c>
      <c r="K28" s="25">
        <v>46309</v>
      </c>
      <c r="L28" s="25">
        <v>46311</v>
      </c>
      <c r="M28" s="13" t="s">
        <v>152</v>
      </c>
    </row>
    <row r="29" spans="1:13">
      <c r="A29" s="22" t="s">
        <v>19</v>
      </c>
      <c r="B29" s="13" t="s">
        <v>20</v>
      </c>
      <c r="C29" s="18" t="s">
        <v>178</v>
      </c>
      <c r="D29" s="13" t="s">
        <v>179</v>
      </c>
      <c r="E29" s="18" t="s">
        <v>115</v>
      </c>
      <c r="F29" s="13" t="s">
        <v>180</v>
      </c>
      <c r="G29" s="26" t="s">
        <v>53</v>
      </c>
      <c r="H29" s="23">
        <v>2</v>
      </c>
      <c r="I29" s="23">
        <f>H29*(1+汇总!$C$30)</f>
        <v>2.3</v>
      </c>
      <c r="J29" s="24" t="s">
        <v>116</v>
      </c>
      <c r="K29" s="25">
        <v>46280</v>
      </c>
      <c r="L29" s="25">
        <v>46281</v>
      </c>
      <c r="M29" s="13"/>
    </row>
    <row r="30" ht="39" customHeight="1" spans="1:13">
      <c r="A30" s="22" t="s">
        <v>19</v>
      </c>
      <c r="B30" s="13" t="s">
        <v>20</v>
      </c>
      <c r="C30" s="28" t="s">
        <v>156</v>
      </c>
      <c r="D30" s="29" t="s">
        <v>181</v>
      </c>
      <c r="E30" s="18" t="s">
        <v>115</v>
      </c>
      <c r="F30" s="29" t="s">
        <v>182</v>
      </c>
      <c r="G30" s="26" t="s">
        <v>53</v>
      </c>
      <c r="H30" s="23">
        <v>2</v>
      </c>
      <c r="I30" s="23">
        <f>H30*(1+汇总!$C$30)</f>
        <v>2.3</v>
      </c>
      <c r="J30" s="24" t="s">
        <v>116</v>
      </c>
      <c r="K30" s="25">
        <v>46282</v>
      </c>
      <c r="L30" s="25">
        <v>46283</v>
      </c>
      <c r="M30" s="13" t="s">
        <v>183</v>
      </c>
    </row>
    <row r="31" spans="1:13">
      <c r="A31" s="22" t="s">
        <v>19</v>
      </c>
      <c r="B31" s="13" t="s">
        <v>20</v>
      </c>
      <c r="C31" s="28" t="s">
        <v>156</v>
      </c>
      <c r="D31" s="29" t="s">
        <v>184</v>
      </c>
      <c r="E31" s="18" t="s">
        <v>115</v>
      </c>
      <c r="F31" s="29" t="s">
        <v>185</v>
      </c>
      <c r="G31" s="26" t="s">
        <v>53</v>
      </c>
      <c r="H31" s="23">
        <v>1.5</v>
      </c>
      <c r="I31" s="23">
        <f>H31*(1+汇总!$C$30)</f>
        <v>1.725</v>
      </c>
      <c r="J31" s="24" t="s">
        <v>116</v>
      </c>
      <c r="K31" s="25">
        <v>46286</v>
      </c>
      <c r="L31" s="25">
        <v>46287</v>
      </c>
      <c r="M31" s="13" t="s">
        <v>186</v>
      </c>
    </row>
    <row r="32" spans="1:13">
      <c r="A32" s="22" t="s">
        <v>19</v>
      </c>
      <c r="B32" s="13" t="s">
        <v>20</v>
      </c>
      <c r="C32" s="28" t="s">
        <v>156</v>
      </c>
      <c r="D32" s="29" t="s">
        <v>187</v>
      </c>
      <c r="E32" s="18" t="s">
        <v>115</v>
      </c>
      <c r="F32" s="29" t="s">
        <v>188</v>
      </c>
      <c r="G32" s="26" t="s">
        <v>53</v>
      </c>
      <c r="H32" s="23">
        <v>1.5</v>
      </c>
      <c r="I32" s="23">
        <f>H32*(1+汇总!$C$30)</f>
        <v>1.725</v>
      </c>
      <c r="J32" s="24" t="s">
        <v>116</v>
      </c>
      <c r="K32" s="25">
        <v>46288</v>
      </c>
      <c r="L32" s="25">
        <v>46289</v>
      </c>
      <c r="M32" s="13" t="s">
        <v>186</v>
      </c>
    </row>
    <row r="33" spans="1:13">
      <c r="A33" s="22" t="s">
        <v>19</v>
      </c>
      <c r="B33" s="13" t="s">
        <v>20</v>
      </c>
      <c r="C33" s="28" t="s">
        <v>156</v>
      </c>
      <c r="D33" s="29" t="s">
        <v>189</v>
      </c>
      <c r="E33" s="18" t="s">
        <v>115</v>
      </c>
      <c r="F33" s="29" t="s">
        <v>190</v>
      </c>
      <c r="G33" s="26" t="s">
        <v>53</v>
      </c>
      <c r="H33" s="23">
        <v>1.5</v>
      </c>
      <c r="I33" s="23">
        <f>H33*(1+汇总!$C$30)</f>
        <v>1.725</v>
      </c>
      <c r="J33" s="24" t="s">
        <v>116</v>
      </c>
      <c r="K33" s="25">
        <v>46290</v>
      </c>
      <c r="L33" s="25">
        <v>46293</v>
      </c>
      <c r="M33" s="13" t="s">
        <v>186</v>
      </c>
    </row>
    <row r="34" ht="52" customHeight="1" spans="1:13">
      <c r="A34" s="22" t="s">
        <v>19</v>
      </c>
      <c r="B34" s="13" t="s">
        <v>20</v>
      </c>
      <c r="C34" s="28" t="s">
        <v>156</v>
      </c>
      <c r="D34" s="29" t="s">
        <v>191</v>
      </c>
      <c r="E34" s="18" t="s">
        <v>115</v>
      </c>
      <c r="F34" s="29" t="s">
        <v>192</v>
      </c>
      <c r="G34" s="27" t="s">
        <v>57</v>
      </c>
      <c r="H34" s="23">
        <v>3</v>
      </c>
      <c r="I34" s="23">
        <f>H34*(1+汇总!$C$30)</f>
        <v>3.45</v>
      </c>
      <c r="J34" s="24" t="s">
        <v>116</v>
      </c>
      <c r="K34" s="25">
        <v>46325</v>
      </c>
      <c r="L34" s="25">
        <v>46329</v>
      </c>
      <c r="M34" s="13" t="s">
        <v>193</v>
      </c>
    </row>
    <row r="35" ht="26" customHeight="1" spans="1:13">
      <c r="A35" s="22" t="s">
        <v>19</v>
      </c>
      <c r="B35" s="13" t="s">
        <v>20</v>
      </c>
      <c r="C35" s="28" t="s">
        <v>156</v>
      </c>
      <c r="D35" s="29" t="s">
        <v>194</v>
      </c>
      <c r="E35" s="18" t="s">
        <v>115</v>
      </c>
      <c r="F35" s="29" t="s">
        <v>195</v>
      </c>
      <c r="G35" s="31" t="s">
        <v>61</v>
      </c>
      <c r="H35" s="23">
        <v>1.5</v>
      </c>
      <c r="I35" s="23">
        <f>H35*(1+汇总!$C$30)</f>
        <v>1.725</v>
      </c>
      <c r="J35" s="24" t="s">
        <v>116</v>
      </c>
      <c r="K35" s="25">
        <v>46337</v>
      </c>
      <c r="L35" s="25">
        <v>46338</v>
      </c>
      <c r="M35" s="13" t="s">
        <v>196</v>
      </c>
    </row>
    <row r="36" spans="1:13">
      <c r="A36" s="22" t="s">
        <v>19</v>
      </c>
      <c r="B36" s="13" t="s">
        <v>20</v>
      </c>
      <c r="C36" s="28" t="s">
        <v>156</v>
      </c>
      <c r="D36" s="29" t="s">
        <v>197</v>
      </c>
      <c r="E36" s="18" t="s">
        <v>115</v>
      </c>
      <c r="F36" s="29" t="s">
        <v>198</v>
      </c>
      <c r="G36" s="31" t="s">
        <v>61</v>
      </c>
      <c r="H36" s="23">
        <v>1.5</v>
      </c>
      <c r="I36" s="23">
        <f>H36*(1+汇总!$C$30)</f>
        <v>1.725</v>
      </c>
      <c r="J36" s="24" t="s">
        <v>116</v>
      </c>
      <c r="K36" s="25">
        <v>46339</v>
      </c>
      <c r="L36" s="25">
        <v>46342</v>
      </c>
      <c r="M36" s="13" t="s">
        <v>186</v>
      </c>
    </row>
    <row r="37" ht="26" customHeight="1" spans="1:13">
      <c r="A37" s="22" t="s">
        <v>22</v>
      </c>
      <c r="B37" s="13" t="s">
        <v>23</v>
      </c>
      <c r="C37" s="18" t="s">
        <v>199</v>
      </c>
      <c r="D37" s="13" t="s">
        <v>200</v>
      </c>
      <c r="E37" s="18" t="s">
        <v>115</v>
      </c>
      <c r="F37" s="13" t="s">
        <v>201</v>
      </c>
      <c r="G37" s="27" t="s">
        <v>57</v>
      </c>
      <c r="H37" s="23">
        <v>1.5</v>
      </c>
      <c r="I37" s="23">
        <f>H37*(1+汇总!$C$30)</f>
        <v>1.725</v>
      </c>
      <c r="J37" s="24" t="s">
        <v>116</v>
      </c>
      <c r="K37" s="25">
        <v>46317</v>
      </c>
      <c r="L37" s="25">
        <v>46318</v>
      </c>
      <c r="M37" s="13" t="s">
        <v>202</v>
      </c>
    </row>
    <row r="38" spans="1:13">
      <c r="A38" s="22" t="s">
        <v>22</v>
      </c>
      <c r="B38" s="13" t="s">
        <v>23</v>
      </c>
      <c r="C38" s="18" t="s">
        <v>203</v>
      </c>
      <c r="D38" s="13" t="s">
        <v>204</v>
      </c>
      <c r="E38" s="18" t="s">
        <v>115</v>
      </c>
      <c r="F38" s="13" t="s">
        <v>205</v>
      </c>
      <c r="G38" s="27" t="s">
        <v>57</v>
      </c>
      <c r="H38" s="23">
        <v>3</v>
      </c>
      <c r="I38" s="23">
        <f>H38*(1+汇总!$C$30)</f>
        <v>3.45</v>
      </c>
      <c r="J38" s="24" t="s">
        <v>116</v>
      </c>
      <c r="K38" s="25">
        <v>46321</v>
      </c>
      <c r="L38" s="25">
        <v>46323</v>
      </c>
      <c r="M38" s="13"/>
    </row>
    <row r="39" ht="26" customHeight="1" spans="1:13">
      <c r="A39" s="22" t="s">
        <v>22</v>
      </c>
      <c r="B39" s="13" t="s">
        <v>23</v>
      </c>
      <c r="C39" s="18" t="s">
        <v>206</v>
      </c>
      <c r="D39" s="13" t="s">
        <v>207</v>
      </c>
      <c r="E39" s="18" t="s">
        <v>115</v>
      </c>
      <c r="F39" s="13" t="s">
        <v>208</v>
      </c>
      <c r="G39" s="27" t="s">
        <v>57</v>
      </c>
      <c r="H39" s="23">
        <v>3</v>
      </c>
      <c r="I39" s="23">
        <f>H39*(1+汇总!$C$30)</f>
        <v>3.45</v>
      </c>
      <c r="J39" s="24" t="s">
        <v>116</v>
      </c>
      <c r="K39" s="25">
        <v>46307</v>
      </c>
      <c r="L39" s="25">
        <v>46310</v>
      </c>
      <c r="M39" s="13" t="s">
        <v>209</v>
      </c>
    </row>
    <row r="40" ht="26" customHeight="1" spans="1:13">
      <c r="A40" s="22" t="s">
        <v>22</v>
      </c>
      <c r="B40" s="13" t="s">
        <v>23</v>
      </c>
      <c r="C40" s="18" t="s">
        <v>210</v>
      </c>
      <c r="D40" s="13" t="s">
        <v>211</v>
      </c>
      <c r="E40" s="18" t="s">
        <v>115</v>
      </c>
      <c r="F40" s="13" t="s">
        <v>212</v>
      </c>
      <c r="G40" s="27" t="s">
        <v>57</v>
      </c>
      <c r="H40" s="23">
        <v>2</v>
      </c>
      <c r="I40" s="23">
        <f>H40*(1+汇总!$C$30)</f>
        <v>2.3</v>
      </c>
      <c r="J40" s="24" t="s">
        <v>116</v>
      </c>
      <c r="K40" s="25">
        <v>46330</v>
      </c>
      <c r="L40" s="25">
        <v>46331</v>
      </c>
      <c r="M40" s="13" t="s">
        <v>213</v>
      </c>
    </row>
    <row r="41" ht="52" customHeight="1" spans="1:13">
      <c r="A41" s="22" t="s">
        <v>22</v>
      </c>
      <c r="B41" s="13" t="s">
        <v>23</v>
      </c>
      <c r="C41" s="18" t="s">
        <v>214</v>
      </c>
      <c r="D41" s="13" t="s">
        <v>215</v>
      </c>
      <c r="E41" s="18" t="s">
        <v>115</v>
      </c>
      <c r="F41" s="13" t="s">
        <v>216</v>
      </c>
      <c r="G41" s="27" t="s">
        <v>57</v>
      </c>
      <c r="H41" s="23">
        <v>2</v>
      </c>
      <c r="I41" s="23">
        <f>H41*(1+汇总!$C$30)</f>
        <v>2.3</v>
      </c>
      <c r="J41" s="24" t="s">
        <v>116</v>
      </c>
      <c r="K41" s="25">
        <v>46324</v>
      </c>
      <c r="L41" s="25">
        <v>46325</v>
      </c>
      <c r="M41" s="13" t="s">
        <v>217</v>
      </c>
    </row>
    <row r="42" ht="52" customHeight="1" spans="1:13">
      <c r="A42" s="22" t="s">
        <v>22</v>
      </c>
      <c r="B42" s="13" t="s">
        <v>23</v>
      </c>
      <c r="C42" s="28" t="s">
        <v>156</v>
      </c>
      <c r="D42" s="29" t="s">
        <v>218</v>
      </c>
      <c r="E42" s="18" t="s">
        <v>115</v>
      </c>
      <c r="F42" s="29" t="s">
        <v>219</v>
      </c>
      <c r="G42" s="27" t="s">
        <v>57</v>
      </c>
      <c r="H42" s="23">
        <v>2</v>
      </c>
      <c r="I42" s="23">
        <f>H42*(1+汇总!$C$30)</f>
        <v>2.3</v>
      </c>
      <c r="J42" s="24" t="s">
        <v>116</v>
      </c>
      <c r="K42" s="25">
        <v>46328</v>
      </c>
      <c r="L42" s="25">
        <v>46329</v>
      </c>
      <c r="M42" s="13" t="s">
        <v>220</v>
      </c>
    </row>
    <row r="43" ht="26" customHeight="1" spans="1:13">
      <c r="A43" s="22" t="s">
        <v>25</v>
      </c>
      <c r="B43" s="13" t="s">
        <v>26</v>
      </c>
      <c r="C43" s="18" t="s">
        <v>221</v>
      </c>
      <c r="D43" s="13" t="s">
        <v>222</v>
      </c>
      <c r="E43" s="18" t="s">
        <v>115</v>
      </c>
      <c r="F43" s="13" t="s">
        <v>223</v>
      </c>
      <c r="G43" s="26" t="s">
        <v>53</v>
      </c>
      <c r="H43" s="23">
        <v>2</v>
      </c>
      <c r="I43" s="23">
        <f>H43*(1+汇总!$C$30)</f>
        <v>2.3</v>
      </c>
      <c r="J43" s="24" t="s">
        <v>116</v>
      </c>
      <c r="K43" s="25">
        <v>46276</v>
      </c>
      <c r="L43" s="25">
        <v>46279</v>
      </c>
      <c r="M43" s="13" t="s">
        <v>224</v>
      </c>
    </row>
    <row r="44" spans="1:13">
      <c r="A44" s="22" t="s">
        <v>25</v>
      </c>
      <c r="B44" s="13" t="s">
        <v>26</v>
      </c>
      <c r="C44" s="18" t="s">
        <v>225</v>
      </c>
      <c r="D44" s="13" t="s">
        <v>226</v>
      </c>
      <c r="E44" s="18" t="s">
        <v>115</v>
      </c>
      <c r="F44" s="13" t="s">
        <v>227</v>
      </c>
      <c r="G44" s="26" t="s">
        <v>53</v>
      </c>
      <c r="H44" s="23">
        <v>1</v>
      </c>
      <c r="I44" s="23">
        <f>H44*(1+汇总!$C$30)</f>
        <v>1.15</v>
      </c>
      <c r="J44" s="24" t="s">
        <v>116</v>
      </c>
      <c r="K44" s="25">
        <v>46281</v>
      </c>
      <c r="L44" s="25">
        <v>46281</v>
      </c>
      <c r="M44" s="13"/>
    </row>
    <row r="45" ht="52" customHeight="1" spans="1:13">
      <c r="A45" s="22" t="s">
        <v>25</v>
      </c>
      <c r="B45" s="13" t="s">
        <v>26</v>
      </c>
      <c r="C45" s="18" t="s">
        <v>228</v>
      </c>
      <c r="D45" s="13" t="s">
        <v>229</v>
      </c>
      <c r="E45" s="18" t="s">
        <v>115</v>
      </c>
      <c r="F45" s="13" t="s">
        <v>230</v>
      </c>
      <c r="G45" s="31" t="s">
        <v>61</v>
      </c>
      <c r="H45" s="23">
        <v>4</v>
      </c>
      <c r="I45" s="23">
        <f>H45*(1+汇总!$C$30)</f>
        <v>4.6</v>
      </c>
      <c r="J45" s="24" t="s">
        <v>116</v>
      </c>
      <c r="K45" s="25">
        <v>46337</v>
      </c>
      <c r="L45" s="25">
        <v>46343</v>
      </c>
      <c r="M45" s="13" t="s">
        <v>231</v>
      </c>
    </row>
    <row r="46" ht="39" customHeight="1" spans="1:13">
      <c r="A46" s="22" t="s">
        <v>25</v>
      </c>
      <c r="B46" s="13" t="s">
        <v>26</v>
      </c>
      <c r="C46" s="18" t="s">
        <v>232</v>
      </c>
      <c r="D46" s="13" t="s">
        <v>233</v>
      </c>
      <c r="E46" s="18" t="s">
        <v>115</v>
      </c>
      <c r="F46" s="13" t="s">
        <v>234</v>
      </c>
      <c r="G46" s="31" t="s">
        <v>61</v>
      </c>
      <c r="H46" s="23">
        <v>2</v>
      </c>
      <c r="I46" s="23">
        <f>H46*(1+汇总!$C$30)</f>
        <v>2.3</v>
      </c>
      <c r="J46" s="24" t="s">
        <v>116</v>
      </c>
      <c r="K46" s="25">
        <v>46335</v>
      </c>
      <c r="L46" s="25">
        <v>46336</v>
      </c>
      <c r="M46" s="13" t="s">
        <v>235</v>
      </c>
    </row>
    <row r="47" spans="1:13">
      <c r="A47" s="22" t="s">
        <v>28</v>
      </c>
      <c r="B47" s="13" t="s">
        <v>29</v>
      </c>
      <c r="C47" s="18" t="s">
        <v>236</v>
      </c>
      <c r="D47" s="13" t="s">
        <v>237</v>
      </c>
      <c r="E47" s="18" t="s">
        <v>115</v>
      </c>
      <c r="F47" s="13" t="s">
        <v>238</v>
      </c>
      <c r="G47" s="26" t="s">
        <v>53</v>
      </c>
      <c r="H47" s="23">
        <v>2.5</v>
      </c>
      <c r="I47" s="23">
        <f>H47*(1+汇总!$C$30)</f>
        <v>2.875</v>
      </c>
      <c r="J47" s="24" t="s">
        <v>116</v>
      </c>
      <c r="K47" s="25">
        <v>46282</v>
      </c>
      <c r="L47" s="25">
        <v>46286</v>
      </c>
      <c r="M47" s="13"/>
    </row>
    <row r="48" ht="26" customHeight="1" spans="1:13">
      <c r="A48" s="22" t="s">
        <v>28</v>
      </c>
      <c r="B48" s="13" t="s">
        <v>29</v>
      </c>
      <c r="C48" s="18" t="s">
        <v>239</v>
      </c>
      <c r="D48" s="13" t="s">
        <v>240</v>
      </c>
      <c r="E48" s="18" t="s">
        <v>115</v>
      </c>
      <c r="F48" s="13" t="s">
        <v>241</v>
      </c>
      <c r="G48" s="31" t="s">
        <v>61</v>
      </c>
      <c r="H48" s="23">
        <v>1.5</v>
      </c>
      <c r="I48" s="23">
        <f>H48*(1+汇总!$C$30)</f>
        <v>1.725</v>
      </c>
      <c r="J48" s="24" t="s">
        <v>116</v>
      </c>
      <c r="K48" s="25">
        <v>46337</v>
      </c>
      <c r="L48" s="25">
        <v>46338</v>
      </c>
      <c r="M48" s="13" t="s">
        <v>242</v>
      </c>
    </row>
    <row r="49" spans="1:13">
      <c r="A49" s="22" t="s">
        <v>28</v>
      </c>
      <c r="B49" s="13" t="s">
        <v>29</v>
      </c>
      <c r="C49" s="18" t="s">
        <v>243</v>
      </c>
      <c r="D49" s="13" t="s">
        <v>244</v>
      </c>
      <c r="E49" s="18" t="s">
        <v>115</v>
      </c>
      <c r="F49" s="13" t="s">
        <v>245</v>
      </c>
      <c r="G49" s="26" t="s">
        <v>53</v>
      </c>
      <c r="H49" s="23">
        <v>1.5</v>
      </c>
      <c r="I49" s="23">
        <f>H49*(1+汇总!$C$30)</f>
        <v>1.725</v>
      </c>
      <c r="J49" s="24" t="s">
        <v>116</v>
      </c>
      <c r="K49" s="25">
        <v>46287</v>
      </c>
      <c r="L49" s="25">
        <v>46288</v>
      </c>
      <c r="M49" s="13"/>
    </row>
    <row r="50" ht="26" customHeight="1" spans="1:13">
      <c r="A50" s="22" t="s">
        <v>28</v>
      </c>
      <c r="B50" s="13" t="s">
        <v>29</v>
      </c>
      <c r="C50" s="18" t="s">
        <v>246</v>
      </c>
      <c r="D50" s="30" t="s">
        <v>247</v>
      </c>
      <c r="E50" s="18" t="s">
        <v>115</v>
      </c>
      <c r="F50" s="13" t="s">
        <v>248</v>
      </c>
      <c r="G50" s="31" t="s">
        <v>61</v>
      </c>
      <c r="H50" s="23">
        <v>4</v>
      </c>
      <c r="I50" s="23">
        <f>H50*(1+汇总!$C$30)</f>
        <v>4.6</v>
      </c>
      <c r="J50" s="24" t="s">
        <v>116</v>
      </c>
      <c r="K50" s="25">
        <v>46343</v>
      </c>
      <c r="L50" s="25">
        <v>46349</v>
      </c>
      <c r="M50" s="13" t="s">
        <v>249</v>
      </c>
    </row>
    <row r="51" ht="39" customHeight="1" spans="1:13">
      <c r="A51" s="22" t="s">
        <v>28</v>
      </c>
      <c r="B51" s="13" t="s">
        <v>29</v>
      </c>
      <c r="C51" s="18" t="s">
        <v>250</v>
      </c>
      <c r="D51" s="13" t="s">
        <v>251</v>
      </c>
      <c r="E51" s="18" t="s">
        <v>115</v>
      </c>
      <c r="F51" s="13" t="s">
        <v>252</v>
      </c>
      <c r="G51" s="31" t="s">
        <v>61</v>
      </c>
      <c r="H51" s="23">
        <v>2.5</v>
      </c>
      <c r="I51" s="23">
        <f>H51*(1+汇总!$C$30)</f>
        <v>2.875</v>
      </c>
      <c r="J51" s="24" t="s">
        <v>116</v>
      </c>
      <c r="K51" s="25">
        <v>46343</v>
      </c>
      <c r="L51" s="25">
        <v>46345</v>
      </c>
      <c r="M51" s="13" t="s">
        <v>253</v>
      </c>
    </row>
    <row r="52" ht="26" customHeight="1" spans="1:13">
      <c r="A52" s="22" t="s">
        <v>28</v>
      </c>
      <c r="B52" s="13" t="s">
        <v>29</v>
      </c>
      <c r="C52" s="18" t="s">
        <v>254</v>
      </c>
      <c r="D52" s="30" t="s">
        <v>255</v>
      </c>
      <c r="E52" s="18" t="s">
        <v>115</v>
      </c>
      <c r="F52" s="13" t="s">
        <v>256</v>
      </c>
      <c r="G52" s="27" t="s">
        <v>57</v>
      </c>
      <c r="H52" s="23">
        <v>2</v>
      </c>
      <c r="I52" s="23">
        <f>H52*(1+汇总!$C$30)</f>
        <v>2.3</v>
      </c>
      <c r="J52" s="24" t="s">
        <v>116</v>
      </c>
      <c r="K52" s="25">
        <v>46282</v>
      </c>
      <c r="L52" s="25">
        <v>46287</v>
      </c>
      <c r="M52" s="13" t="s">
        <v>257</v>
      </c>
    </row>
    <row r="53" ht="26" customHeight="1" spans="1:13">
      <c r="A53" s="22" t="s">
        <v>28</v>
      </c>
      <c r="B53" s="13" t="s">
        <v>29</v>
      </c>
      <c r="C53" s="18" t="s">
        <v>258</v>
      </c>
      <c r="D53" s="30" t="s">
        <v>259</v>
      </c>
      <c r="E53" s="18" t="s">
        <v>115</v>
      </c>
      <c r="F53" s="13" t="s">
        <v>260</v>
      </c>
      <c r="G53" s="27" t="s">
        <v>57</v>
      </c>
      <c r="H53" s="23">
        <v>1.5</v>
      </c>
      <c r="I53" s="23">
        <f>H53*(1+汇总!$C$30)</f>
        <v>1.725</v>
      </c>
      <c r="J53" s="24" t="s">
        <v>116</v>
      </c>
      <c r="K53" s="25">
        <v>46288</v>
      </c>
      <c r="L53" s="25">
        <v>46289</v>
      </c>
      <c r="M53" s="13" t="s">
        <v>261</v>
      </c>
    </row>
    <row r="54" ht="26" customHeight="1" spans="1:13">
      <c r="A54" s="22" t="s">
        <v>31</v>
      </c>
      <c r="B54" s="13" t="s">
        <v>32</v>
      </c>
      <c r="C54" s="18" t="s">
        <v>262</v>
      </c>
      <c r="D54" s="13" t="s">
        <v>263</v>
      </c>
      <c r="E54" s="18" t="s">
        <v>115</v>
      </c>
      <c r="F54" s="13" t="s">
        <v>264</v>
      </c>
      <c r="G54" s="26" t="s">
        <v>53</v>
      </c>
      <c r="H54" s="23">
        <v>1</v>
      </c>
      <c r="I54" s="23">
        <f>H54*(1+汇总!$C$30)</f>
        <v>1.15</v>
      </c>
      <c r="J54" s="24" t="s">
        <v>116</v>
      </c>
      <c r="K54" s="25">
        <v>46289</v>
      </c>
      <c r="L54" s="25">
        <v>46289</v>
      </c>
      <c r="M54" s="13"/>
    </row>
    <row r="55" spans="1:13">
      <c r="A55" s="22" t="s">
        <v>31</v>
      </c>
      <c r="B55" s="13" t="s">
        <v>32</v>
      </c>
      <c r="C55" s="18" t="s">
        <v>265</v>
      </c>
      <c r="D55" s="13" t="s">
        <v>266</v>
      </c>
      <c r="E55" s="18" t="s">
        <v>115</v>
      </c>
      <c r="F55" s="13" t="s">
        <v>267</v>
      </c>
      <c r="G55" s="31" t="s">
        <v>61</v>
      </c>
      <c r="H55" s="23">
        <v>0.5</v>
      </c>
      <c r="I55" s="23">
        <f>H55*(1+汇总!$C$30)</f>
        <v>0.575</v>
      </c>
      <c r="J55" s="24" t="s">
        <v>116</v>
      </c>
      <c r="K55" s="25">
        <v>46339</v>
      </c>
      <c r="L55" s="25">
        <v>46339</v>
      </c>
      <c r="M55" s="13"/>
    </row>
    <row r="56" spans="1:13">
      <c r="A56" s="22" t="s">
        <v>31</v>
      </c>
      <c r="B56" s="13" t="s">
        <v>32</v>
      </c>
      <c r="C56" s="18" t="s">
        <v>268</v>
      </c>
      <c r="D56" s="13" t="s">
        <v>269</v>
      </c>
      <c r="E56" s="18" t="s">
        <v>115</v>
      </c>
      <c r="F56" s="13" t="s">
        <v>270</v>
      </c>
      <c r="G56" s="31" t="s">
        <v>61</v>
      </c>
      <c r="H56" s="23">
        <v>0.5</v>
      </c>
      <c r="I56" s="23">
        <f>H56*(1+汇总!$C$30)</f>
        <v>0.575</v>
      </c>
      <c r="J56" s="24" t="s">
        <v>116</v>
      </c>
      <c r="K56" s="25">
        <v>46342</v>
      </c>
      <c r="L56" s="25">
        <v>46342</v>
      </c>
      <c r="M56" s="13"/>
    </row>
    <row r="57" ht="52" customHeight="1" spans="1:13">
      <c r="A57" s="22" t="s">
        <v>33</v>
      </c>
      <c r="B57" s="13" t="s">
        <v>34</v>
      </c>
      <c r="C57" s="18" t="s">
        <v>271</v>
      </c>
      <c r="D57" s="13" t="s">
        <v>272</v>
      </c>
      <c r="E57" s="18" t="s">
        <v>115</v>
      </c>
      <c r="F57" s="13" t="s">
        <v>273</v>
      </c>
      <c r="G57" s="26" t="s">
        <v>53</v>
      </c>
      <c r="H57" s="23">
        <v>2</v>
      </c>
      <c r="I57" s="23">
        <f>H57*(1+汇总!$C$30)</f>
        <v>2.3</v>
      </c>
      <c r="J57" s="24" t="s">
        <v>116</v>
      </c>
      <c r="K57" s="25">
        <v>46286</v>
      </c>
      <c r="L57" s="25">
        <v>46287</v>
      </c>
      <c r="M57" s="13" t="s">
        <v>274</v>
      </c>
    </row>
    <row r="58" spans="1:13">
      <c r="A58" s="22" t="s">
        <v>33</v>
      </c>
      <c r="B58" s="13" t="s">
        <v>34</v>
      </c>
      <c r="C58" s="18" t="s">
        <v>275</v>
      </c>
      <c r="D58" s="13" t="s">
        <v>276</v>
      </c>
      <c r="E58" s="18" t="s">
        <v>115</v>
      </c>
      <c r="F58" s="13" t="s">
        <v>277</v>
      </c>
      <c r="G58" s="26" t="s">
        <v>53</v>
      </c>
      <c r="H58" s="23">
        <v>1</v>
      </c>
      <c r="I58" s="23">
        <f>H58*(1+汇总!$C$30)</f>
        <v>1.15</v>
      </c>
      <c r="J58" s="24" t="s">
        <v>116</v>
      </c>
      <c r="K58" s="25">
        <v>46288</v>
      </c>
      <c r="L58" s="25">
        <v>46288</v>
      </c>
      <c r="M58" s="13"/>
    </row>
    <row r="59" ht="39" customHeight="1" spans="1:13">
      <c r="A59" s="22" t="s">
        <v>33</v>
      </c>
      <c r="B59" s="13" t="s">
        <v>34</v>
      </c>
      <c r="C59" s="18" t="s">
        <v>278</v>
      </c>
      <c r="D59" s="13" t="s">
        <v>279</v>
      </c>
      <c r="E59" s="18" t="s">
        <v>115</v>
      </c>
      <c r="F59" s="13" t="s">
        <v>280</v>
      </c>
      <c r="G59" s="26" t="s">
        <v>53</v>
      </c>
      <c r="H59" s="23">
        <v>1.5</v>
      </c>
      <c r="I59" s="23">
        <f>H59*(1+汇总!$C$30)</f>
        <v>1.725</v>
      </c>
      <c r="J59" s="24" t="s">
        <v>116</v>
      </c>
      <c r="K59" s="25">
        <v>46289</v>
      </c>
      <c r="L59" s="25">
        <v>46290</v>
      </c>
      <c r="M59" s="13" t="s">
        <v>281</v>
      </c>
    </row>
    <row r="60" ht="26" customHeight="1" spans="1:13">
      <c r="A60" s="22" t="s">
        <v>33</v>
      </c>
      <c r="B60" s="13" t="s">
        <v>34</v>
      </c>
      <c r="C60" s="18" t="s">
        <v>282</v>
      </c>
      <c r="D60" s="13" t="s">
        <v>283</v>
      </c>
      <c r="E60" s="18" t="s">
        <v>115</v>
      </c>
      <c r="F60" s="13" t="s">
        <v>284</v>
      </c>
      <c r="G60" s="26" t="s">
        <v>53</v>
      </c>
      <c r="H60" s="23">
        <v>1.5</v>
      </c>
      <c r="I60" s="23">
        <f>H60*(1+汇总!$C$30)</f>
        <v>1.725</v>
      </c>
      <c r="J60" s="24" t="s">
        <v>116</v>
      </c>
      <c r="K60" s="25">
        <v>46293</v>
      </c>
      <c r="L60" s="25">
        <v>46294</v>
      </c>
      <c r="M60" s="13" t="s">
        <v>285</v>
      </c>
    </row>
    <row r="61" ht="52" customHeight="1" spans="1:13">
      <c r="A61" s="22" t="s">
        <v>33</v>
      </c>
      <c r="B61" s="13" t="s">
        <v>34</v>
      </c>
      <c r="C61" s="28" t="s">
        <v>156</v>
      </c>
      <c r="D61" s="29" t="s">
        <v>286</v>
      </c>
      <c r="E61" s="18" t="s">
        <v>115</v>
      </c>
      <c r="F61" s="29" t="s">
        <v>287</v>
      </c>
      <c r="G61" s="31" t="s">
        <v>61</v>
      </c>
      <c r="H61" s="23">
        <v>2</v>
      </c>
      <c r="I61" s="23">
        <f>H61*(1+汇总!$C$30)</f>
        <v>2.3</v>
      </c>
      <c r="J61" s="24" t="s">
        <v>116</v>
      </c>
      <c r="K61" s="25">
        <v>46332</v>
      </c>
      <c r="L61" s="25">
        <v>46336</v>
      </c>
      <c r="M61" s="13" t="s">
        <v>288</v>
      </c>
    </row>
    <row r="62" ht="39" customHeight="1" spans="1:13">
      <c r="A62" s="22" t="s">
        <v>36</v>
      </c>
      <c r="B62" s="13" t="s">
        <v>37</v>
      </c>
      <c r="C62" s="18" t="s">
        <v>95</v>
      </c>
      <c r="D62" s="13" t="s">
        <v>289</v>
      </c>
      <c r="E62" s="18" t="s">
        <v>37</v>
      </c>
      <c r="F62" s="13" t="s">
        <v>290</v>
      </c>
      <c r="G62" s="7" t="s">
        <v>65</v>
      </c>
      <c r="H62" s="23">
        <v>10</v>
      </c>
      <c r="I62" s="23">
        <f>H62*(1+汇总!$C$30)</f>
        <v>11.5</v>
      </c>
      <c r="J62" s="24" t="s">
        <v>116</v>
      </c>
      <c r="K62" s="25">
        <v>46303</v>
      </c>
      <c r="L62" s="25">
        <v>46360</v>
      </c>
      <c r="M62" s="13" t="s">
        <v>291</v>
      </c>
    </row>
    <row r="63" spans="1:13">
      <c r="A63" s="22" t="s">
        <v>36</v>
      </c>
      <c r="B63" s="13" t="s">
        <v>37</v>
      </c>
      <c r="C63" s="18" t="s">
        <v>95</v>
      </c>
      <c r="D63" s="13" t="s">
        <v>292</v>
      </c>
      <c r="E63" s="18" t="s">
        <v>37</v>
      </c>
      <c r="F63" s="13" t="s">
        <v>95</v>
      </c>
      <c r="G63" s="7" t="s">
        <v>65</v>
      </c>
      <c r="H63" s="23">
        <v>7</v>
      </c>
      <c r="I63" s="23">
        <f>H63*(1+汇总!$C$30)</f>
        <v>8.05</v>
      </c>
      <c r="J63" s="24" t="s">
        <v>116</v>
      </c>
      <c r="K63" s="25">
        <v>46309</v>
      </c>
      <c r="L63" s="25">
        <v>46360</v>
      </c>
      <c r="M63" s="13" t="s">
        <v>293</v>
      </c>
    </row>
    <row r="64" ht="26" customHeight="1" spans="1:13">
      <c r="A64" s="22" t="s">
        <v>39</v>
      </c>
      <c r="B64" s="13" t="s">
        <v>40</v>
      </c>
      <c r="C64" s="18" t="s">
        <v>95</v>
      </c>
      <c r="D64" s="13" t="s">
        <v>294</v>
      </c>
      <c r="E64" s="18" t="s">
        <v>295</v>
      </c>
      <c r="F64" s="13" t="s">
        <v>95</v>
      </c>
      <c r="G64" s="7" t="s">
        <v>65</v>
      </c>
      <c r="H64" s="23">
        <v>4</v>
      </c>
      <c r="I64" s="23">
        <f>H64*(1+汇总!$C$30)</f>
        <v>4.6</v>
      </c>
      <c r="J64" s="24" t="s">
        <v>116</v>
      </c>
      <c r="K64" s="25">
        <v>46303</v>
      </c>
      <c r="L64" s="25">
        <v>46358</v>
      </c>
      <c r="M64" s="13" t="s">
        <v>296</v>
      </c>
    </row>
    <row r="65" ht="26" customHeight="1" spans="1:13">
      <c r="A65" s="22" t="s">
        <v>39</v>
      </c>
      <c r="B65" s="13" t="s">
        <v>40</v>
      </c>
      <c r="C65" s="18" t="s">
        <v>95</v>
      </c>
      <c r="D65" s="13" t="s">
        <v>297</v>
      </c>
      <c r="E65" s="18" t="s">
        <v>295</v>
      </c>
      <c r="F65" s="13" t="s">
        <v>95</v>
      </c>
      <c r="G65" s="7" t="s">
        <v>65</v>
      </c>
      <c r="H65" s="23">
        <v>6</v>
      </c>
      <c r="I65" s="23">
        <f>H65*(1+汇总!$C$30)</f>
        <v>6.9</v>
      </c>
      <c r="J65" s="24" t="s">
        <v>116</v>
      </c>
      <c r="K65" s="25">
        <v>46308</v>
      </c>
      <c r="L65" s="25">
        <v>46359</v>
      </c>
      <c r="M65" s="13" t="s">
        <v>298</v>
      </c>
    </row>
    <row r="66" spans="1:13">
      <c r="A66" s="22" t="s">
        <v>39</v>
      </c>
      <c r="B66" s="13" t="s">
        <v>40</v>
      </c>
      <c r="C66" s="18" t="s">
        <v>95</v>
      </c>
      <c r="D66" s="13" t="s">
        <v>299</v>
      </c>
      <c r="E66" s="18" t="s">
        <v>295</v>
      </c>
      <c r="F66" s="13" t="s">
        <v>95</v>
      </c>
      <c r="G66" s="7" t="s">
        <v>65</v>
      </c>
      <c r="H66" s="23">
        <v>3</v>
      </c>
      <c r="I66" s="23">
        <f>H66*(1+汇总!$C$30)</f>
        <v>3.45</v>
      </c>
      <c r="J66" s="24" t="s">
        <v>116</v>
      </c>
      <c r="K66" s="25">
        <v>46310</v>
      </c>
      <c r="L66" s="25">
        <v>46360</v>
      </c>
      <c r="M66" s="13" t="s">
        <v>293</v>
      </c>
    </row>
    <row r="67" ht="26" customHeight="1" spans="1:13">
      <c r="A67" s="22" t="s">
        <v>42</v>
      </c>
      <c r="B67" s="13" t="s">
        <v>43</v>
      </c>
      <c r="C67" s="18" t="s">
        <v>95</v>
      </c>
      <c r="D67" s="13" t="s">
        <v>300</v>
      </c>
      <c r="E67" s="18" t="s">
        <v>301</v>
      </c>
      <c r="F67" s="13" t="s">
        <v>95</v>
      </c>
      <c r="G67" s="7" t="s">
        <v>65</v>
      </c>
      <c r="H67" s="23">
        <v>3</v>
      </c>
      <c r="I67" s="23">
        <f>H67*(1+汇总!$C$30)</f>
        <v>3.45</v>
      </c>
      <c r="J67" s="24" t="s">
        <v>116</v>
      </c>
      <c r="K67" s="25">
        <v>46308</v>
      </c>
      <c r="L67" s="25">
        <v>46360</v>
      </c>
      <c r="M67" s="13" t="s">
        <v>302</v>
      </c>
    </row>
    <row r="68" spans="1:13">
      <c r="A68" s="22" t="s">
        <v>42</v>
      </c>
      <c r="B68" s="13" t="s">
        <v>43</v>
      </c>
      <c r="C68" s="18" t="s">
        <v>95</v>
      </c>
      <c r="D68" s="13" t="s">
        <v>303</v>
      </c>
      <c r="E68" s="18" t="s">
        <v>301</v>
      </c>
      <c r="F68" s="13" t="s">
        <v>95</v>
      </c>
      <c r="G68" s="7" t="s">
        <v>65</v>
      </c>
      <c r="H68" s="23">
        <v>5</v>
      </c>
      <c r="I68" s="23">
        <f>H68*(1+汇总!$C$30)</f>
        <v>5.75</v>
      </c>
      <c r="J68" s="24" t="s">
        <v>116</v>
      </c>
      <c r="K68" s="25">
        <v>46310</v>
      </c>
      <c r="L68" s="25">
        <v>46363</v>
      </c>
      <c r="M68" s="13" t="s">
        <v>293</v>
      </c>
    </row>
    <row r="69" ht="26" customHeight="1" spans="1:13">
      <c r="A69" s="22" t="s">
        <v>42</v>
      </c>
      <c r="B69" s="13" t="s">
        <v>43</v>
      </c>
      <c r="C69" s="18" t="s">
        <v>95</v>
      </c>
      <c r="D69" s="13" t="s">
        <v>304</v>
      </c>
      <c r="E69" s="18" t="s">
        <v>37</v>
      </c>
      <c r="F69" s="13" t="s">
        <v>95</v>
      </c>
      <c r="G69" s="7" t="s">
        <v>65</v>
      </c>
      <c r="H69" s="23">
        <v>7</v>
      </c>
      <c r="I69" s="23">
        <f>H69*(1+汇总!$C$30)</f>
        <v>8.05</v>
      </c>
      <c r="J69" s="24" t="s">
        <v>116</v>
      </c>
      <c r="K69" s="25">
        <v>46311</v>
      </c>
      <c r="L69" s="25">
        <v>46374</v>
      </c>
      <c r="M69" s="13" t="s">
        <v>305</v>
      </c>
    </row>
    <row r="70" ht="15.5" customHeight="1" spans="1:13">
      <c r="A70" s="32"/>
      <c r="B70" s="32"/>
      <c r="C70" s="32"/>
      <c r="D70" s="33" t="s">
        <v>306</v>
      </c>
      <c r="E70" s="32"/>
      <c r="F70" s="32"/>
      <c r="G70" s="32"/>
      <c r="H70" s="34">
        <f>SUM(H4:H69)</f>
        <v>149</v>
      </c>
      <c r="I70" s="34">
        <f>SUM(I4:I69)</f>
        <v>171.35</v>
      </c>
      <c r="J70" s="32"/>
      <c r="K70" s="32"/>
      <c r="L70" s="32"/>
      <c r="M70" s="32"/>
    </row>
    <row r="72" ht="14.5" spans="1:13">
      <c r="A72" s="35" t="s">
        <v>307</v>
      </c>
    </row>
    <row r="73" spans="1:13">
      <c r="A73" s="36"/>
      <c r="B73" s="37" t="s">
        <v>308</v>
      </c>
    </row>
    <row r="74" spans="1:13">
      <c r="A74" s="38"/>
      <c r="B74" s="37" t="s">
        <v>309</v>
      </c>
    </row>
    <row r="75" spans="1:13">
      <c r="A75" s="39"/>
      <c r="B75" s="37" t="s">
        <v>310</v>
      </c>
    </row>
    <row r="76" spans="1:13">
      <c r="A76" s="40"/>
      <c r="B76" s="37" t="s">
        <v>311</v>
      </c>
    </row>
    <row r="77" spans="1:13">
      <c r="A77" s="41"/>
      <c r="B77" s="37" t="s">
        <v>312</v>
      </c>
    </row>
    <row r="78" spans="1:13">
      <c r="A78" s="8"/>
      <c r="B78" s="37" t="s">
        <v>313</v>
      </c>
    </row>
    <row r="79" spans="1:13">
      <c r="A79" s="42"/>
      <c r="B79" s="37" t="s">
        <v>314</v>
      </c>
    </row>
    <row r="80" spans="1:13">
      <c r="A80" s="43"/>
      <c r="B80" s="37" t="s">
        <v>315</v>
      </c>
    </row>
    <row r="81" spans="1:2">
      <c r="A81" s="44"/>
      <c r="B81" s="37" t="s">
        <v>316</v>
      </c>
    </row>
  </sheetData>
  <autoFilter xmlns:etc="http://www.wps.cn/officeDocument/2017/etCustomData" ref="A3:M7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showGridLines="0" tabSelected="1" topLeftCell="A4" workbookViewId="0">
      <selection activeCell="A10" sqref="A10:E17"/>
    </sheetView>
  </sheetViews>
  <sheetFormatPr defaultColWidth="9" defaultRowHeight="14" outlineLevelCol="6"/>
  <cols>
    <col min="1" max="1" width="10" customWidth="1"/>
    <col min="2" max="2" width="33.8181818181818" customWidth="1"/>
    <col min="3" max="4" width="12" customWidth="1"/>
    <col min="5" max="5" width="9" customWidth="1"/>
    <col min="6" max="6" width="60" customWidth="1"/>
    <col min="7" max="7" width="40" customWidth="1"/>
  </cols>
  <sheetData>
    <row r="1" ht="16.5" customHeight="1" spans="1:7">
      <c r="A1" s="1" t="s">
        <v>317</v>
      </c>
    </row>
    <row r="2" spans="1:7">
      <c r="A2" s="2" t="s">
        <v>318</v>
      </c>
    </row>
    <row r="3" ht="28" customHeight="1" spans="1:7">
      <c r="A3" s="3" t="s">
        <v>319</v>
      </c>
      <c r="B3" s="3" t="s">
        <v>320</v>
      </c>
      <c r="C3" s="3" t="s">
        <v>321</v>
      </c>
      <c r="D3" s="3" t="s">
        <v>322</v>
      </c>
      <c r="E3" s="3" t="s">
        <v>323</v>
      </c>
      <c r="F3" s="3" t="s">
        <v>324</v>
      </c>
      <c r="G3" s="3" t="s">
        <v>325</v>
      </c>
    </row>
    <row r="4" ht="84" customHeight="1" spans="1:7">
      <c r="A4" s="4" t="s">
        <v>326</v>
      </c>
      <c r="B4" s="5" t="s">
        <v>327</v>
      </c>
      <c r="C4" s="6">
        <v>51.75</v>
      </c>
      <c r="D4" s="6">
        <v>54</v>
      </c>
      <c r="E4" s="6">
        <v>0.96</v>
      </c>
      <c r="F4" s="5" t="s">
        <v>328</v>
      </c>
      <c r="G4" s="5" t="s">
        <v>329</v>
      </c>
    </row>
    <row r="5" ht="70" customHeight="1" spans="1:7">
      <c r="A5" s="4" t="s">
        <v>330</v>
      </c>
      <c r="B5" s="5" t="s">
        <v>331</v>
      </c>
      <c r="C5" s="6">
        <v>48</v>
      </c>
      <c r="D5" s="6">
        <v>48</v>
      </c>
      <c r="E5" s="6">
        <v>1</v>
      </c>
      <c r="F5" s="5" t="s">
        <v>332</v>
      </c>
      <c r="G5" s="5" t="s">
        <v>333</v>
      </c>
    </row>
    <row r="6" ht="70" customHeight="1" spans="1:7">
      <c r="A6" s="4" t="s">
        <v>334</v>
      </c>
      <c r="B6" s="5" t="s">
        <v>335</v>
      </c>
      <c r="C6" s="6">
        <v>63</v>
      </c>
      <c r="D6" s="6">
        <v>63</v>
      </c>
      <c r="E6" s="6">
        <v>1</v>
      </c>
      <c r="F6" s="5" t="s">
        <v>336</v>
      </c>
      <c r="G6" s="5" t="s">
        <v>337</v>
      </c>
    </row>
    <row r="7" ht="56" customHeight="1" spans="1:7">
      <c r="A7" s="4" t="s">
        <v>338</v>
      </c>
      <c r="B7" s="5" t="s">
        <v>339</v>
      </c>
      <c r="C7" s="6">
        <v>8.6</v>
      </c>
      <c r="D7" s="6">
        <v>69</v>
      </c>
      <c r="E7" s="6">
        <v>0.13</v>
      </c>
      <c r="F7" s="5" t="s">
        <v>340</v>
      </c>
      <c r="G7" s="5" t="s">
        <v>341</v>
      </c>
    </row>
    <row r="8" ht="42" customHeight="1" spans="1:7">
      <c r="A8" s="7" t="s">
        <v>342</v>
      </c>
      <c r="B8" s="8"/>
      <c r="C8" s="9">
        <f>SUM(C4:C7)</f>
        <v>171.35</v>
      </c>
      <c r="D8" s="10">
        <f>SUM(D4:D7)</f>
        <v>234</v>
      </c>
      <c r="E8" s="11">
        <f>C8/D8</f>
        <v>0.732264957264957</v>
      </c>
      <c r="F8" s="10" t="s">
        <v>343</v>
      </c>
      <c r="G8" s="8"/>
    </row>
    <row r="9" spans="1:7">
      <c r="A9" s="12"/>
      <c r="B9" s="12"/>
      <c r="C9" s="12"/>
      <c r="D9" s="12"/>
      <c r="E9" s="12"/>
      <c r="F9" s="12"/>
      <c r="G9" s="12"/>
    </row>
    <row r="10" ht="16.5" customHeight="1" spans="1:7">
      <c r="A10" s="13" t="s">
        <v>344</v>
      </c>
      <c r="B10" s="14"/>
      <c r="C10" s="12"/>
      <c r="D10" s="12"/>
      <c r="E10" s="12"/>
      <c r="F10" s="12"/>
      <c r="G10" s="12"/>
    </row>
    <row r="11" ht="14.5" customHeight="1" spans="1:7">
      <c r="A11" s="3" t="s">
        <v>47</v>
      </c>
      <c r="B11" s="3" t="s">
        <v>345</v>
      </c>
      <c r="C11" s="15" t="s">
        <v>346</v>
      </c>
      <c r="D11" s="16"/>
      <c r="E11" s="17"/>
      <c r="F11" s="12"/>
      <c r="G11" s="12"/>
    </row>
    <row r="12" ht="26" customHeight="1" spans="1:7">
      <c r="A12" s="13" t="s">
        <v>49</v>
      </c>
      <c r="B12" s="13" t="s">
        <v>347</v>
      </c>
      <c r="C12" s="18" t="s">
        <v>348</v>
      </c>
      <c r="D12" s="16"/>
      <c r="E12" s="17"/>
      <c r="F12" s="12"/>
      <c r="G12" s="12"/>
    </row>
    <row r="13" ht="26" customHeight="1" spans="1:7">
      <c r="A13" s="13" t="s">
        <v>349</v>
      </c>
      <c r="B13" s="13" t="s">
        <v>350</v>
      </c>
      <c r="C13" s="18" t="s">
        <v>351</v>
      </c>
      <c r="D13" s="16"/>
      <c r="E13" s="17"/>
      <c r="F13" s="12"/>
      <c r="G13" s="12"/>
    </row>
    <row r="14" ht="26" customHeight="1" spans="1:7">
      <c r="A14" s="13" t="s">
        <v>352</v>
      </c>
      <c r="B14" s="13" t="s">
        <v>353</v>
      </c>
      <c r="C14" s="18" t="s">
        <v>354</v>
      </c>
      <c r="D14" s="16"/>
      <c r="E14" s="17"/>
      <c r="F14" s="12"/>
      <c r="G14" s="12"/>
    </row>
    <row r="15" ht="26" customHeight="1" spans="1:7">
      <c r="A15" s="13" t="s">
        <v>355</v>
      </c>
      <c r="B15" s="13" t="s">
        <v>356</v>
      </c>
      <c r="C15" s="18" t="s">
        <v>357</v>
      </c>
      <c r="D15" s="16"/>
      <c r="E15" s="17"/>
      <c r="F15" s="12"/>
      <c r="G15" s="12"/>
    </row>
    <row r="16" ht="26" customHeight="1" spans="1:7">
      <c r="A16" s="13" t="s">
        <v>358</v>
      </c>
      <c r="B16" s="13" t="s">
        <v>359</v>
      </c>
      <c r="C16" s="18" t="s">
        <v>360</v>
      </c>
      <c r="D16" s="16"/>
      <c r="E16" s="17"/>
      <c r="F16" s="12"/>
      <c r="G16" s="12"/>
    </row>
    <row r="17" ht="26" customHeight="1" spans="1:7">
      <c r="A17" s="13" t="s">
        <v>361</v>
      </c>
      <c r="B17" s="13" t="s">
        <v>362</v>
      </c>
      <c r="C17" s="18" t="s">
        <v>363</v>
      </c>
      <c r="D17" s="16"/>
      <c r="E17" s="17"/>
      <c r="F17" s="12"/>
      <c r="G17" s="12"/>
    </row>
    <row r="18" spans="1:7">
      <c r="A18" s="12"/>
      <c r="B18" s="12"/>
      <c r="C18" s="12"/>
      <c r="D18" s="12"/>
      <c r="E18" s="12"/>
      <c r="F18" s="12"/>
      <c r="G18" s="12"/>
    </row>
    <row r="19" ht="16.5" customHeight="1" spans="1:7">
      <c r="A19" s="18" t="s">
        <v>364</v>
      </c>
      <c r="B19" s="17"/>
      <c r="C19" s="12"/>
      <c r="D19" s="12"/>
      <c r="E19" s="12"/>
      <c r="F19" s="12"/>
      <c r="G19" s="12"/>
    </row>
    <row r="20" spans="1:7">
      <c r="A20" s="19" t="s">
        <v>365</v>
      </c>
      <c r="B20" s="13" t="s">
        <v>366</v>
      </c>
      <c r="C20" s="16"/>
      <c r="D20" s="16"/>
      <c r="E20" s="16"/>
      <c r="F20" s="16"/>
      <c r="G20" s="17"/>
    </row>
    <row r="21" spans="1:7">
      <c r="A21" s="19" t="s">
        <v>367</v>
      </c>
      <c r="B21" s="13" t="s">
        <v>368</v>
      </c>
      <c r="C21" s="16"/>
      <c r="D21" s="16"/>
      <c r="E21" s="16"/>
      <c r="F21" s="16"/>
      <c r="G21" s="17"/>
    </row>
    <row r="22" spans="1:7">
      <c r="A22" s="19" t="s">
        <v>369</v>
      </c>
      <c r="B22" s="13" t="s">
        <v>370</v>
      </c>
      <c r="C22" s="16"/>
      <c r="D22" s="16"/>
      <c r="E22" s="16"/>
      <c r="F22" s="16"/>
      <c r="G22" s="17"/>
    </row>
    <row r="23" spans="1:7">
      <c r="A23" s="19" t="s">
        <v>371</v>
      </c>
      <c r="B23" s="13" t="s">
        <v>372</v>
      </c>
      <c r="C23" s="16"/>
      <c r="D23" s="16"/>
      <c r="E23" s="16"/>
      <c r="F23" s="16"/>
      <c r="G23" s="17"/>
    </row>
    <row r="24" spans="1:7">
      <c r="A24" s="19" t="s">
        <v>373</v>
      </c>
      <c r="B24" s="13" t="s">
        <v>374</v>
      </c>
      <c r="C24" s="16"/>
      <c r="D24" s="16"/>
      <c r="E24" s="16"/>
      <c r="F24" s="16"/>
      <c r="G24" s="17"/>
    </row>
  </sheetData>
  <mergeCells count="16">
    <mergeCell ref="A1:G1"/>
    <mergeCell ref="A2:G2"/>
    <mergeCell ref="A10:B10"/>
    <mergeCell ref="C11:E11"/>
    <mergeCell ref="C12:E12"/>
    <mergeCell ref="C13:E13"/>
    <mergeCell ref="C14:E14"/>
    <mergeCell ref="C15:E15"/>
    <mergeCell ref="C16:E16"/>
    <mergeCell ref="C17:E17"/>
    <mergeCell ref="A19:B19"/>
    <mergeCell ref="B20:G20"/>
    <mergeCell ref="B21:G21"/>
    <mergeCell ref="B22:G22"/>
    <mergeCell ref="B23:G23"/>
    <mergeCell ref="B24:G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功能点评估（全栈）</vt:lpstr>
      <vt:lpstr>按月版本规划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yellow</cp:lastModifiedBy>
  <dcterms:created xsi:type="dcterms:W3CDTF">2026-09-05T11:38:00Z</dcterms:created>
  <dcterms:modified xsi:type="dcterms:W3CDTF">2026-09-07T01:54:41Z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C0D38E0338EA427A8420CA1CA695A8D2_13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