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功能点评估（全栈）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评估明细-待激活" sheetId="3" state="visible" r:id="rId3"/>
  </sheets>
  <definedNames>
    <definedName name="_xlnm._FilterDatabase" localSheetId="0" hidden="1">'功能点评估（全栈）'!$A$3:$J$53</definedName>
    <definedName name="_xlnm._FilterDatabase" localSheetId="2" hidden="1">'评估明细-待激活'!$A$3:$H$88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0.0"/>
    <numFmt numFmtId="166" formatCode="yyyy-mm-dd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color rgb="FF666666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b val="1"/>
      <sz val="11"/>
    </font>
    <font>
      <name val="微软雅黑"/>
      <charset val="134"/>
      <color rgb="FF0000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0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7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8" borderId="5" applyAlignment="1">
      <alignment vertical="center"/>
    </xf>
    <xf numFmtId="0" fontId="17" fillId="4" borderId="6" applyAlignment="1">
      <alignment vertical="center"/>
    </xf>
    <xf numFmtId="0" fontId="18" fillId="4" borderId="5" applyAlignment="1">
      <alignment vertical="center"/>
    </xf>
    <xf numFmtId="0" fontId="19" fillId="9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1" pivotButton="0" quotePrefix="0" xfId="0"/>
    <xf numFmtId="0" fontId="5" fillId="5" borderId="1" pivotButton="0" quotePrefix="0" xfId="0"/>
    <xf numFmtId="164" fontId="5" fillId="5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horizontal="center"/>
    </xf>
    <xf numFmtId="0" fontId="2" fillId="0" borderId="0" pivotButton="0" quotePrefix="0" xfId="0"/>
    <xf numFmtId="9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0" borderId="0" pivotButton="0" quotePrefix="0" xfId="0"/>
    <xf numFmtId="165" fontId="4" fillId="6" borderId="1" applyAlignment="1" pivotButton="0" quotePrefix="0" xfId="0">
      <alignment horizontal="center"/>
    </xf>
    <xf numFmtId="0" fontId="27" fillId="37" borderId="10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/>
    </xf>
    <xf numFmtId="166" fontId="28" fillId="0" borderId="10" applyAlignment="1" pivotButton="0" quotePrefix="0" xfId="0">
      <alignment horizontal="center" vertical="center"/>
    </xf>
    <xf numFmtId="166" fontId="28" fillId="38" borderId="10" applyAlignment="1" pivotButton="0" quotePrefix="0" xfId="0">
      <alignment horizontal="center" vertical="center"/>
    </xf>
    <xf numFmtId="0" fontId="0" fillId="39" borderId="1" pivotButton="0" quotePrefix="0" xfId="0"/>
    <xf numFmtId="0" fontId="5" fillId="39" borderId="1" pivotButton="0" quotePrefix="0" xfId="0"/>
    <xf numFmtId="164" fontId="5" fillId="39" borderId="1" applyAlignment="1" pivotButton="0" quotePrefix="0" xfId="0">
      <alignment horizontal="center"/>
    </xf>
    <xf numFmtId="0" fontId="0" fillId="39" borderId="0" pivotButton="0" quotePrefix="0" xfId="0"/>
    <xf numFmtId="164" fontId="4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tabSelected="1" workbookViewId="0">
      <pane ySplit="3" topLeftCell="A21" activePane="bottomLeft" state="frozen"/>
      <selection activeCell="A1" sqref="A1"/>
      <selection pane="bottomLeft" activeCell="A57" sqref="A57"/>
    </sheetView>
  </sheetViews>
  <sheetFormatPr baseColWidth="8" defaultColWidth="9" defaultRowHeight="14"/>
  <cols>
    <col width="6" customWidth="1" min="1" max="1"/>
    <col width="13" customWidth="1" min="2" max="2"/>
    <col width="11" customWidth="1" min="3" max="3"/>
    <col width="38" customWidth="1" min="4" max="4"/>
    <col width="7" customWidth="1" min="5" max="6"/>
    <col width="9" customWidth="1" min="7" max="7"/>
    <col width="12" customWidth="1" min="8" max="8"/>
    <col width="12" customWidth="1" min="9" max="9"/>
    <col width="34" customWidth="1" min="10" max="10"/>
  </cols>
  <sheetData>
    <row r="1" ht="20" customHeight="1">
      <c r="A1" s="1" t="inlineStr">
        <is>
          <t>P1-R03 工期评估表 · 功能点级（全栈口径）</t>
        </is>
      </c>
    </row>
    <row r="2" ht="30" customHeight="1">
      <c r="A2" s="2" t="inlineStr">
        <is>
          <t>口径：人日含概要设计+编码+自测；每功能点一行、不分前后端/联调（类型=全栈），功能点 FP 码对应 P1-R01 第 5.1 节。与「评估明细」二选一填写或交叉校验——汇总表「评估采用口径」决定合计采用哪套数字。黄格待填（人日按 0.5 的倍数）。排期口径：按评估人并行、任务串行，自 2026-09-02 起排，跳过双休与国庆（10/1-10/7）。</t>
        </is>
      </c>
    </row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功能点</t>
        </is>
      </c>
      <c r="D3" s="3" t="inlineStr">
        <is>
          <t>任务</t>
        </is>
      </c>
      <c r="E3" s="3" t="inlineStr">
        <is>
          <t>类型</t>
        </is>
      </c>
      <c r="F3" s="3" t="inlineStr">
        <is>
          <t>人日</t>
        </is>
      </c>
      <c r="G3" s="3" t="inlineStr">
        <is>
          <t>评估人</t>
        </is>
      </c>
      <c r="H3" s="24" t="inlineStr">
        <is>
          <t>开始时间</t>
        </is>
      </c>
      <c r="I3" s="24" t="inlineStr">
        <is>
          <t>结束时间</t>
        </is>
      </c>
      <c r="J3" s="3" t="inlineStr">
        <is>
          <t>备注（风险/依赖）</t>
        </is>
      </c>
    </row>
    <row r="4" ht="14.5" customHeight="1">
      <c r="A4" s="4" t="inlineStr">
        <is>
          <t>A1</t>
        </is>
      </c>
      <c r="B4" s="4" t="inlineStr">
        <is>
          <t>需求调研与PRD</t>
        </is>
      </c>
      <c r="C4" s="4" t="inlineStr">
        <is>
          <t>—</t>
        </is>
      </c>
      <c r="D4" s="5" t="inlineStr">
        <is>
          <t>吉客云/路凯页面与字段梳理</t>
        </is>
      </c>
      <c r="E4" s="4" t="inlineStr">
        <is>
          <t>调研</t>
        </is>
      </c>
      <c r="F4" s="25" t="n">
        <v>2</v>
      </c>
      <c r="G4" s="7" t="inlineStr">
        <is>
          <t>吕道远</t>
        </is>
      </c>
      <c r="H4" s="26" t="n">
        <v>46267</v>
      </c>
      <c r="I4" s="26" t="n">
        <v>46268</v>
      </c>
      <c r="J4" s="5" t="inlineStr">
        <is>
          <t>依赖 #2 #3：账号或全套截图到位后开展</t>
        </is>
      </c>
    </row>
    <row r="5" ht="14.5" customHeight="1">
      <c r="A5" s="8" t="inlineStr">
        <is>
          <t>A1</t>
        </is>
      </c>
      <c r="B5" s="8" t="inlineStr">
        <is>
          <t>需求调研与PRD</t>
        </is>
      </c>
      <c r="C5" s="8" t="inlineStr">
        <is>
          <t>—</t>
        </is>
      </c>
      <c r="D5" s="9" t="inlineStr">
        <is>
          <t>计费规则与单据流程确认</t>
        </is>
      </c>
      <c r="E5" s="8" t="inlineStr">
        <is>
          <t>调研</t>
        </is>
      </c>
      <c r="F5" s="25" t="n">
        <v>2</v>
      </c>
      <c r="G5" s="7" t="inlineStr">
        <is>
          <t>吕道远</t>
        </is>
      </c>
      <c r="H5" s="27" t="n">
        <v>46269</v>
      </c>
      <c r="I5" s="27" t="n">
        <v>46272</v>
      </c>
      <c r="J5" s="9" t="inlineStr">
        <is>
          <t>依赖 #1 #5：合同/报价单、单据样例</t>
        </is>
      </c>
    </row>
    <row r="6" ht="14.5" customHeight="1">
      <c r="A6" s="4" t="inlineStr">
        <is>
          <t>A1</t>
        </is>
      </c>
      <c r="B6" s="4" t="inlineStr">
        <is>
          <t>需求调研与PRD</t>
        </is>
      </c>
      <c r="C6" s="4" t="inlineStr">
        <is>
          <t>—</t>
        </is>
      </c>
      <c r="D6" s="5" t="inlineStr">
        <is>
          <t>PRD 编写（按模块分册）</t>
        </is>
      </c>
      <c r="E6" s="4" t="inlineStr">
        <is>
          <t>文档</t>
        </is>
      </c>
      <c r="F6" s="25" t="n">
        <v>1</v>
      </c>
      <c r="G6" s="7" t="inlineStr">
        <is>
          <t>吕道远</t>
        </is>
      </c>
      <c r="H6" s="26" t="n">
        <v>46273</v>
      </c>
      <c r="I6" s="26" t="n">
        <v>46273</v>
      </c>
      <c r="J6" s="5" t="inlineStr"/>
    </row>
    <row r="7" ht="14.5" customHeight="1">
      <c r="A7" s="8" t="inlineStr">
        <is>
          <t>A1</t>
        </is>
      </c>
      <c r="B7" s="8" t="inlineStr">
        <is>
          <t>需求调研与PRD</t>
        </is>
      </c>
      <c r="C7" s="8" t="inlineStr">
        <is>
          <t>—</t>
        </is>
      </c>
      <c r="D7" s="9" t="inlineStr">
        <is>
          <t>PRD 评审与修订</t>
        </is>
      </c>
      <c r="E7" s="8" t="inlineStr">
        <is>
          <t>文档</t>
        </is>
      </c>
      <c r="F7" s="25" t="n">
        <v>1</v>
      </c>
      <c r="G7" s="7" t="inlineStr">
        <is>
          <t>吕道远</t>
        </is>
      </c>
      <c r="H7" s="27" t="n">
        <v>46274</v>
      </c>
      <c r="I7" s="27" t="n">
        <v>46274</v>
      </c>
      <c r="J7" s="9" t="inlineStr">
        <is>
          <t>客户确认后方可冻结范围</t>
        </is>
      </c>
    </row>
    <row r="8" ht="14.5" customHeight="1">
      <c r="A8" s="4" t="inlineStr">
        <is>
          <t>A2</t>
        </is>
      </c>
      <c r="B8" s="4" t="inlineStr">
        <is>
          <t>原型设计</t>
        </is>
      </c>
      <c r="C8" s="4" t="inlineStr">
        <is>
          <t>—</t>
        </is>
      </c>
      <c r="D8" s="5" t="inlineStr">
        <is>
          <t>核心流程原型（仓储作业+订单协同）</t>
        </is>
      </c>
      <c r="E8" s="4" t="inlineStr">
        <is>
          <t>原型</t>
        </is>
      </c>
      <c r="F8" s="25" t="n">
        <v>1</v>
      </c>
      <c r="G8" s="7" t="inlineStr">
        <is>
          <t>吕道远</t>
        </is>
      </c>
      <c r="H8" s="26" t="n">
        <v>46275</v>
      </c>
      <c r="I8" s="26" t="n">
        <v>46275</v>
      </c>
      <c r="J8" s="5" t="inlineStr"/>
    </row>
    <row r="9" ht="14.5" customHeight="1">
      <c r="A9" s="8" t="inlineStr">
        <is>
          <t>A2</t>
        </is>
      </c>
      <c r="B9" s="8" t="inlineStr">
        <is>
          <t>原型设计</t>
        </is>
      </c>
      <c r="C9" s="8" t="inlineStr">
        <is>
          <t>—</t>
        </is>
      </c>
      <c r="D9" s="9" t="inlineStr">
        <is>
          <t>管理与报表原型（项目/财务/基础数据）</t>
        </is>
      </c>
      <c r="E9" s="8" t="inlineStr">
        <is>
          <t>原型</t>
        </is>
      </c>
      <c r="F9" s="25" t="n">
        <v>2</v>
      </c>
      <c r="G9" s="7" t="inlineStr">
        <is>
          <t>吕道远</t>
        </is>
      </c>
      <c r="H9" s="27" t="n">
        <v>46276</v>
      </c>
      <c r="I9" s="27" t="n">
        <v>46279</v>
      </c>
      <c r="J9" s="9" t="inlineStr"/>
    </row>
    <row r="10" ht="14.5" customHeight="1">
      <c r="A10" s="4" t="inlineStr">
        <is>
          <t>A2</t>
        </is>
      </c>
      <c r="B10" s="4" t="inlineStr">
        <is>
          <t>原型设计</t>
        </is>
      </c>
      <c r="C10" s="4" t="inlineStr">
        <is>
          <t>—</t>
        </is>
      </c>
      <c r="D10" s="5" t="inlineStr">
        <is>
          <t>原型评审与修订</t>
        </is>
      </c>
      <c r="E10" s="4" t="inlineStr">
        <is>
          <t>原型</t>
        </is>
      </c>
      <c r="F10" s="25" t="n">
        <v>1</v>
      </c>
      <c r="G10" s="7" t="inlineStr">
        <is>
          <t>吕道远</t>
        </is>
      </c>
      <c r="H10" s="26" t="n">
        <v>46280</v>
      </c>
      <c r="I10" s="26" t="n">
        <v>46280</v>
      </c>
      <c r="J10" s="5" t="inlineStr"/>
    </row>
    <row r="11" ht="29" customHeight="1">
      <c r="A11" s="8" t="inlineStr">
        <is>
          <t>B0</t>
        </is>
      </c>
      <c r="B11" s="8" t="inlineStr">
        <is>
          <t>公共技术底座</t>
        </is>
      </c>
      <c r="C11" s="8" t="inlineStr">
        <is>
          <t>—</t>
        </is>
      </c>
      <c r="D11" s="9" t="inlineStr">
        <is>
          <t>工程脚手架与 CI/CD</t>
        </is>
      </c>
      <c r="E11" s="8" t="inlineStr">
        <is>
          <t>全栈</t>
        </is>
      </c>
      <c r="F11" s="25" t="n">
        <v>1</v>
      </c>
      <c r="G11" s="7" t="inlineStr">
        <is>
          <t>陈金</t>
        </is>
      </c>
      <c r="H11" s="27" t="n">
        <v>46267</v>
      </c>
      <c r="I11" s="27" t="n">
        <v>46267</v>
      </c>
      <c r="J11" s="9" t="inlineStr">
        <is>
          <t>本表细化时新增，非 P1-R01 功能点，评估时确认保留</t>
        </is>
      </c>
    </row>
    <row r="12" ht="14.5" customHeight="1">
      <c r="A12" s="4" t="inlineStr">
        <is>
          <t>B0</t>
        </is>
      </c>
      <c r="B12" s="4" t="inlineStr">
        <is>
          <t>公共技术底座</t>
        </is>
      </c>
      <c r="C12" s="4" t="inlineStr">
        <is>
          <t>—</t>
        </is>
      </c>
      <c r="D12" s="5" t="inlineStr">
        <is>
          <t>登录认证与框架权限</t>
        </is>
      </c>
      <c r="E12" s="4" t="inlineStr">
        <is>
          <t>全栈</t>
        </is>
      </c>
      <c r="F12" s="25" t="n">
        <v>1</v>
      </c>
      <c r="G12" s="7" t="inlineStr">
        <is>
          <t>陈金</t>
        </is>
      </c>
      <c r="H12" s="26" t="n">
        <v>46268</v>
      </c>
      <c r="I12" s="26" t="n">
        <v>46268</v>
      </c>
      <c r="J12" s="5" t="inlineStr"/>
    </row>
    <row r="13" ht="14.5" customHeight="1">
      <c r="A13" s="8" t="inlineStr">
        <is>
          <t>B0</t>
        </is>
      </c>
      <c r="B13" s="8" t="inlineStr">
        <is>
          <t>公共技术底座</t>
        </is>
      </c>
      <c r="C13" s="8" t="inlineStr">
        <is>
          <t>—</t>
        </is>
      </c>
      <c r="D13" s="9" t="inlineStr">
        <is>
          <t>通用组件（单据/列表/导入导出）</t>
        </is>
      </c>
      <c r="E13" s="8" t="inlineStr">
        <is>
          <t>全栈</t>
        </is>
      </c>
      <c r="F13" s="25" t="n">
        <v>1</v>
      </c>
      <c r="G13" s="7" t="inlineStr">
        <is>
          <t>陈金</t>
        </is>
      </c>
      <c r="H13" s="27" t="n">
        <v>46269</v>
      </c>
      <c r="I13" s="27" t="n">
        <v>46269</v>
      </c>
      <c r="J13" s="9" t="inlineStr"/>
    </row>
    <row r="14" ht="14.5" customHeight="1">
      <c r="A14" s="4" t="inlineStr">
        <is>
          <t>B1</t>
        </is>
      </c>
      <c r="B14" s="4" t="inlineStr">
        <is>
          <t>基础数据</t>
        </is>
      </c>
      <c r="C14" s="4" t="inlineStr">
        <is>
          <t>FP1-01</t>
        </is>
      </c>
      <c r="D14" s="5" t="inlineStr">
        <is>
          <t>项目档案：页面 + 表结构与接口</t>
        </is>
      </c>
      <c r="E14" s="4" t="inlineStr">
        <is>
          <t>全栈</t>
        </is>
      </c>
      <c r="F14" s="25" t="n">
        <v>0.5</v>
      </c>
      <c r="G14" s="7" t="inlineStr">
        <is>
          <t>陈金</t>
        </is>
      </c>
      <c r="H14" s="26" t="n">
        <v>46272</v>
      </c>
      <c r="I14" s="26" t="n">
        <v>46272</v>
      </c>
      <c r="J14" s="5" t="inlineStr"/>
    </row>
    <row r="15" ht="14.5" customHeight="1">
      <c r="A15" s="8" t="inlineStr">
        <is>
          <t>B1</t>
        </is>
      </c>
      <c r="B15" s="8" t="inlineStr">
        <is>
          <t>基础数据</t>
        </is>
      </c>
      <c r="C15" s="8" t="inlineStr">
        <is>
          <t>FP1-02</t>
        </is>
      </c>
      <c r="D15" s="9" t="inlineStr">
        <is>
          <t>往来单位档案：页面 + 接口（含开票资料）</t>
        </is>
      </c>
      <c r="E15" s="8" t="inlineStr">
        <is>
          <t>全栈</t>
        </is>
      </c>
      <c r="F15" s="25" t="n">
        <v>0.5</v>
      </c>
      <c r="G15" s="7" t="inlineStr">
        <is>
          <t>陈金</t>
        </is>
      </c>
      <c r="H15" s="27" t="n">
        <v>46272</v>
      </c>
      <c r="I15" s="27" t="n">
        <v>46272</v>
      </c>
      <c r="J15" s="9" t="inlineStr"/>
    </row>
    <row r="16" ht="14.5" customHeight="1">
      <c r="A16" s="4" t="inlineStr">
        <is>
          <t>B1</t>
        </is>
      </c>
      <c r="B16" s="4" t="inlineStr">
        <is>
          <t>基础数据</t>
        </is>
      </c>
      <c r="C16" s="4" t="inlineStr">
        <is>
          <t>FP1-03</t>
        </is>
      </c>
      <c r="D16" s="5" t="inlineStr">
        <is>
          <t>包材档案：页面 + 接口</t>
        </is>
      </c>
      <c r="E16" s="4" t="inlineStr">
        <is>
          <t>全栈</t>
        </is>
      </c>
      <c r="F16" s="25" t="n">
        <v>0.5</v>
      </c>
      <c r="G16" s="7" t="inlineStr">
        <is>
          <t>陈金</t>
        </is>
      </c>
      <c r="H16" s="26" t="n">
        <v>46273</v>
      </c>
      <c r="I16" s="26" t="n">
        <v>46273</v>
      </c>
      <c r="J16" s="5" t="inlineStr"/>
    </row>
    <row r="17" ht="14.5" customHeight="1">
      <c r="A17" s="8" t="inlineStr">
        <is>
          <t>B1</t>
        </is>
      </c>
      <c r="B17" s="8" t="inlineStr">
        <is>
          <t>基础数据</t>
        </is>
      </c>
      <c r="C17" s="8" t="inlineStr">
        <is>
          <t>FP1-04</t>
        </is>
      </c>
      <c r="D17" s="9" t="inlineStr">
        <is>
          <t>零部件档案：页面 + 接口</t>
        </is>
      </c>
      <c r="E17" s="8" t="inlineStr">
        <is>
          <t>全栈</t>
        </is>
      </c>
      <c r="F17" s="25" t="n">
        <v>0.5</v>
      </c>
      <c r="G17" s="7" t="inlineStr">
        <is>
          <t>陈金</t>
        </is>
      </c>
      <c r="H17" s="27" t="n">
        <v>46273</v>
      </c>
      <c r="I17" s="27" t="n">
        <v>46273</v>
      </c>
      <c r="J17" s="9" t="inlineStr"/>
    </row>
    <row r="18" ht="14.5" customHeight="1">
      <c r="A18" s="4" t="inlineStr">
        <is>
          <t>B1</t>
        </is>
      </c>
      <c r="B18" s="4" t="inlineStr">
        <is>
          <t>基础数据</t>
        </is>
      </c>
      <c r="C18" s="4" t="inlineStr">
        <is>
          <t>FP1-05</t>
        </is>
      </c>
      <c r="D18" s="5" t="inlineStr">
        <is>
          <t>子母件 BOM：维护页 + 版本管理与配比校验</t>
        </is>
      </c>
      <c r="E18" s="4" t="inlineStr">
        <is>
          <t>全栈</t>
        </is>
      </c>
      <c r="F18" s="25" t="n">
        <v>0.5</v>
      </c>
      <c r="G18" s="7" t="inlineStr">
        <is>
          <t>陈金</t>
        </is>
      </c>
      <c r="H18" s="26" t="n">
        <v>46274</v>
      </c>
      <c r="I18" s="26" t="n">
        <v>46274</v>
      </c>
      <c r="J18" s="5" t="inlineStr">
        <is>
          <t>配比错误需拦截</t>
        </is>
      </c>
    </row>
    <row r="19" ht="14.5" customHeight="1">
      <c r="A19" s="8" t="inlineStr">
        <is>
          <t>B1</t>
        </is>
      </c>
      <c r="B19" s="8" t="inlineStr">
        <is>
          <t>基础数据</t>
        </is>
      </c>
      <c r="C19" s="8" t="inlineStr">
        <is>
          <t>FP1-06</t>
        </is>
      </c>
      <c r="D19" s="9" t="inlineStr">
        <is>
          <t>库位档案：页面 + 接口（仓/区/位三级）</t>
        </is>
      </c>
      <c r="E19" s="8" t="inlineStr">
        <is>
          <t>全栈</t>
        </is>
      </c>
      <c r="F19" s="25" t="n">
        <v>0.5</v>
      </c>
      <c r="G19" s="7" t="inlineStr">
        <is>
          <t>陈金</t>
        </is>
      </c>
      <c r="H19" s="27" t="n">
        <v>46274</v>
      </c>
      <c r="I19" s="27" t="n">
        <v>46274</v>
      </c>
      <c r="J19" s="9" t="inlineStr"/>
    </row>
    <row r="20" ht="14.5" customHeight="1">
      <c r="A20" s="4" t="inlineStr">
        <is>
          <t>B2</t>
        </is>
      </c>
      <c r="B20" s="4" t="inlineStr">
        <is>
          <t>项目管理中心</t>
        </is>
      </c>
      <c r="C20" s="4" t="inlineStr">
        <is>
          <t>FP2-01</t>
        </is>
      </c>
      <c r="D20" s="5" t="inlineStr">
        <is>
          <t>项目编码规则：规则引擎 + 配置页</t>
        </is>
      </c>
      <c r="E20" s="4" t="inlineStr">
        <is>
          <t>全栈</t>
        </is>
      </c>
      <c r="F20" s="25" t="n">
        <v>0.5</v>
      </c>
      <c r="G20" s="7" t="inlineStr">
        <is>
          <t>陈金</t>
        </is>
      </c>
      <c r="H20" s="26" t="n">
        <v>46275</v>
      </c>
      <c r="I20" s="26" t="n">
        <v>46275</v>
      </c>
      <c r="J20" s="5" t="inlineStr"/>
    </row>
    <row r="21" ht="14.5" customHeight="1">
      <c r="A21" s="8" t="inlineStr">
        <is>
          <t>B2</t>
        </is>
      </c>
      <c r="B21" s="8" t="inlineStr">
        <is>
          <t>项目管理中心</t>
        </is>
      </c>
      <c r="C21" s="8" t="inlineStr">
        <is>
          <t>FP2-02</t>
        </is>
      </c>
      <c r="D21" s="9" t="inlineStr">
        <is>
          <t>上下游绑定：关系维护页 + 模型接口</t>
        </is>
      </c>
      <c r="E21" s="8" t="inlineStr">
        <is>
          <t>全栈</t>
        </is>
      </c>
      <c r="F21" s="25" t="n">
        <v>0.5</v>
      </c>
      <c r="G21" s="7" t="inlineStr">
        <is>
          <t>陈金</t>
        </is>
      </c>
      <c r="H21" s="27" t="n">
        <v>46275</v>
      </c>
      <c r="I21" s="27" t="n">
        <v>46275</v>
      </c>
      <c r="J21" s="9" t="inlineStr"/>
    </row>
    <row r="22" ht="14.5" customHeight="1">
      <c r="A22" s="4" t="inlineStr">
        <is>
          <t>B2</t>
        </is>
      </c>
      <c r="B22" s="4" t="inlineStr">
        <is>
          <t>项目管理中心</t>
        </is>
      </c>
      <c r="C22" s="4" t="inlineStr">
        <is>
          <t>FP2-03</t>
        </is>
      </c>
      <c r="D22" s="5" t="inlineStr">
        <is>
          <t>项目看板：图表页 + 统计接口</t>
        </is>
      </c>
      <c r="E22" s="4" t="inlineStr">
        <is>
          <t>全栈</t>
        </is>
      </c>
      <c r="F22" s="25" t="n">
        <v>1</v>
      </c>
      <c r="G22" s="7" t="inlineStr">
        <is>
          <t>陈金</t>
        </is>
      </c>
      <c r="H22" s="26" t="n">
        <v>46276</v>
      </c>
      <c r="I22" s="26" t="n">
        <v>46276</v>
      </c>
      <c r="J22" s="5" t="inlineStr"/>
    </row>
    <row r="23" ht="14.5" customHeight="1">
      <c r="A23" s="8" t="inlineStr">
        <is>
          <t>B2</t>
        </is>
      </c>
      <c r="B23" s="8" t="inlineStr">
        <is>
          <t>项目管理中心</t>
        </is>
      </c>
      <c r="C23" s="8" t="inlineStr">
        <is>
          <t>FP2-04</t>
        </is>
      </c>
      <c r="D23" s="9" t="inlineStr">
        <is>
          <t>明细下钻：下钻交互 + 穿透查询</t>
        </is>
      </c>
      <c r="E23" s="8" t="inlineStr">
        <is>
          <t>全栈</t>
        </is>
      </c>
      <c r="F23" s="25" t="n">
        <v>1</v>
      </c>
      <c r="G23" s="7" t="inlineStr">
        <is>
          <t>陈金</t>
        </is>
      </c>
      <c r="H23" s="27" t="n">
        <v>46279</v>
      </c>
      <c r="I23" s="27" t="n">
        <v>46279</v>
      </c>
      <c r="J23" s="9" t="inlineStr"/>
    </row>
    <row r="24" ht="14.5" customHeight="1">
      <c r="A24" s="4" t="inlineStr">
        <is>
          <t>B3</t>
        </is>
      </c>
      <c r="B24" s="4" t="inlineStr">
        <is>
          <t>仓储作业 ★核心</t>
        </is>
      </c>
      <c r="C24" s="4" t="inlineStr">
        <is>
          <t>FP3-01</t>
        </is>
      </c>
      <c r="D24" s="5" t="inlineStr">
        <is>
          <t>采购入库单：录单 + 入库过账与库存更新</t>
        </is>
      </c>
      <c r="E24" s="4" t="inlineStr">
        <is>
          <t>全栈</t>
        </is>
      </c>
      <c r="F24" s="25" t="n">
        <v>1.5</v>
      </c>
      <c r="G24" s="7" t="inlineStr">
        <is>
          <t>陈金</t>
        </is>
      </c>
      <c r="H24" s="26" t="n">
        <v>46280</v>
      </c>
      <c r="I24" s="26" t="n">
        <v>46281</v>
      </c>
      <c r="J24" s="5" t="inlineStr"/>
    </row>
    <row r="25" ht="29" customHeight="1">
      <c r="A25" s="8" t="inlineStr">
        <is>
          <t>B3</t>
        </is>
      </c>
      <c r="B25" s="8" t="inlineStr">
        <is>
          <t>仓储作业 ★核心</t>
        </is>
      </c>
      <c r="C25" s="8" t="inlineStr">
        <is>
          <t>FP3-02 ★新增</t>
        </is>
      </c>
      <c r="D25" s="9" t="inlineStr">
        <is>
          <t>小组装单：录单 + 库存转换引擎 + 拆件回退</t>
        </is>
      </c>
      <c r="E25" s="8" t="inlineStr">
        <is>
          <t>全栈</t>
        </is>
      </c>
      <c r="F25" s="25" t="n">
        <v>1.5</v>
      </c>
      <c r="G25" s="7" t="inlineStr">
        <is>
          <t>陈金</t>
        </is>
      </c>
      <c r="H25" s="27" t="n">
        <v>46281</v>
      </c>
      <c r="I25" s="27" t="n">
        <v>46282</v>
      </c>
      <c r="J25" s="9" t="inlineStr">
        <is>
          <t>新逻辑：组装动作首次入系统；拆件回退应对日计划频繁变更</t>
        </is>
      </c>
    </row>
    <row r="26" ht="14.5" customHeight="1">
      <c r="A26" s="4" t="inlineStr">
        <is>
          <t>B3</t>
        </is>
      </c>
      <c r="B26" s="4" t="inlineStr">
        <is>
          <t>仓储作业 ★核心</t>
        </is>
      </c>
      <c r="C26" s="4" t="inlineStr">
        <is>
          <t>FP3-03</t>
        </is>
      </c>
      <c r="D26" s="5" t="inlineStr">
        <is>
          <t>组合出库单：录单 + 出库过账与台账联动</t>
        </is>
      </c>
      <c r="E26" s="4" t="inlineStr">
        <is>
          <t>全栈</t>
        </is>
      </c>
      <c r="F26" s="25" t="n">
        <v>1.5</v>
      </c>
      <c r="G26" s="7" t="inlineStr">
        <is>
          <t>陈金</t>
        </is>
      </c>
      <c r="H26" s="26" t="n">
        <v>46283</v>
      </c>
      <c r="I26" s="26" t="n">
        <v>46286</v>
      </c>
      <c r="J26" s="5" t="inlineStr"/>
    </row>
    <row r="27" ht="14.5" customHeight="1">
      <c r="A27" s="8" t="inlineStr">
        <is>
          <t>B3</t>
        </is>
      </c>
      <c r="B27" s="8" t="inlineStr">
        <is>
          <t>仓储作业 ★核心</t>
        </is>
      </c>
      <c r="C27" s="8" t="inlineStr">
        <is>
          <t>FP3-04</t>
        </is>
      </c>
      <c r="D27" s="9" t="inlineStr">
        <is>
          <t>退租入库验收单：录单 + 按零件缺损核对</t>
        </is>
      </c>
      <c r="E27" s="8" t="inlineStr">
        <is>
          <t>全栈</t>
        </is>
      </c>
      <c r="F27" s="25" t="n">
        <v>1.5</v>
      </c>
      <c r="G27" s="7" t="inlineStr">
        <is>
          <t>陈金</t>
        </is>
      </c>
      <c r="H27" s="27" t="n">
        <v>46286</v>
      </c>
      <c r="I27" s="27" t="n">
        <v>46287</v>
      </c>
      <c r="J27" s="9" t="inlineStr"/>
    </row>
    <row r="28" ht="14.5" customHeight="1">
      <c r="A28" s="4" t="inlineStr">
        <is>
          <t>B3</t>
        </is>
      </c>
      <c r="B28" s="4" t="inlineStr">
        <is>
          <t>仓储作业 ★核心</t>
        </is>
      </c>
      <c r="C28" s="4" t="inlineStr">
        <is>
          <t>FP3-05</t>
        </is>
      </c>
      <c r="D28" s="5" t="inlineStr">
        <is>
          <t>盘点单：双口径任务页 + 盘盈亏过账</t>
        </is>
      </c>
      <c r="E28" s="4" t="inlineStr">
        <is>
          <t>全栈</t>
        </is>
      </c>
      <c r="F28" s="25" t="n">
        <v>1.5</v>
      </c>
      <c r="G28" s="7" t="inlineStr">
        <is>
          <t>陈金</t>
        </is>
      </c>
      <c r="H28" s="26" t="n">
        <v>46288</v>
      </c>
      <c r="I28" s="26" t="n">
        <v>46289</v>
      </c>
      <c r="J28" s="5" t="inlineStr"/>
    </row>
    <row r="29" ht="14.5" customHeight="1">
      <c r="A29" s="8" t="inlineStr">
        <is>
          <t>B3</t>
        </is>
      </c>
      <c r="B29" s="8" t="inlineStr">
        <is>
          <t>仓储作业 ★核心</t>
        </is>
      </c>
      <c r="C29" s="8" t="inlineStr">
        <is>
          <t>FP3-06</t>
        </is>
      </c>
      <c r="D29" s="9" t="inlineStr">
        <is>
          <t>库存查询：双视角查询页 + 接口</t>
        </is>
      </c>
      <c r="E29" s="8" t="inlineStr">
        <is>
          <t>全栈</t>
        </is>
      </c>
      <c r="F29" s="25" t="n">
        <v>1.5</v>
      </c>
      <c r="G29" s="7" t="inlineStr">
        <is>
          <t>陈金</t>
        </is>
      </c>
      <c r="H29" s="27" t="n">
        <v>46289</v>
      </c>
      <c r="I29" s="27" t="n">
        <v>46290</v>
      </c>
      <c r="J29" s="9" t="inlineStr"/>
    </row>
    <row r="30" ht="14.5" customHeight="1">
      <c r="A30" s="4" t="inlineStr">
        <is>
          <t>B4</t>
        </is>
      </c>
      <c r="B30" s="4" t="inlineStr">
        <is>
          <t>租赁管理</t>
        </is>
      </c>
      <c r="C30" s="4" t="inlineStr">
        <is>
          <t>FP4-01</t>
        </is>
      </c>
      <c r="D30" s="5" t="inlineStr">
        <is>
          <t>租出台账：页面 + 接口</t>
        </is>
      </c>
      <c r="E30" s="4" t="inlineStr">
        <is>
          <t>全栈</t>
        </is>
      </c>
      <c r="F30" s="25" t="n">
        <v>0.5</v>
      </c>
      <c r="G30" s="7" t="inlineStr">
        <is>
          <t>陈金</t>
        </is>
      </c>
      <c r="H30" s="26" t="n">
        <v>46293</v>
      </c>
      <c r="I30" s="26" t="n">
        <v>46293</v>
      </c>
      <c r="J30" s="5" t="inlineStr"/>
    </row>
    <row r="31" ht="14.5" customHeight="1">
      <c r="A31" s="8" t="inlineStr">
        <is>
          <t>B4</t>
        </is>
      </c>
      <c r="B31" s="8" t="inlineStr">
        <is>
          <t>租赁管理</t>
        </is>
      </c>
      <c r="C31" s="8" t="inlineStr">
        <is>
          <t>FP4-02</t>
        </is>
      </c>
      <c r="D31" s="9" t="inlineStr">
        <is>
          <t>在租资产跟踪：视图 + 统计接口</t>
        </is>
      </c>
      <c r="E31" s="8" t="inlineStr">
        <is>
          <t>全栈</t>
        </is>
      </c>
      <c r="F31" s="25" t="n">
        <v>0.5</v>
      </c>
      <c r="G31" s="7" t="inlineStr">
        <is>
          <t>陈金</t>
        </is>
      </c>
      <c r="H31" s="27" t="n">
        <v>46293</v>
      </c>
      <c r="I31" s="27" t="n">
        <v>46293</v>
      </c>
      <c r="J31" s="9" t="inlineStr"/>
    </row>
    <row r="32" ht="14.5" customHeight="1">
      <c r="A32" s="4" t="inlineStr">
        <is>
          <t>B4</t>
        </is>
      </c>
      <c r="B32" s="4" t="inlineStr">
        <is>
          <t>租赁管理</t>
        </is>
      </c>
      <c r="C32" s="4" t="inlineStr">
        <is>
          <t>FP4-03</t>
        </is>
      </c>
      <c r="D32" s="5" t="inlineStr">
        <is>
          <t>循环状态管理：状态机 + 操作页</t>
        </is>
      </c>
      <c r="E32" s="4" t="inlineStr">
        <is>
          <t>全栈</t>
        </is>
      </c>
      <c r="F32" s="25" t="n">
        <v>0.5</v>
      </c>
      <c r="G32" s="7" t="inlineStr">
        <is>
          <t>陈金</t>
        </is>
      </c>
      <c r="H32" s="26" t="n">
        <v>46294</v>
      </c>
      <c r="I32" s="26" t="n">
        <v>46294</v>
      </c>
      <c r="J32" s="5" t="inlineStr"/>
    </row>
    <row r="33" ht="29" customHeight="1">
      <c r="A33" s="8" t="inlineStr">
        <is>
          <t>B4</t>
        </is>
      </c>
      <c r="B33" s="8" t="inlineStr">
        <is>
          <t>租赁管理</t>
        </is>
      </c>
      <c r="C33" s="8" t="inlineStr">
        <is>
          <t>FP4-04</t>
        </is>
      </c>
      <c r="D33" s="9" t="inlineStr">
        <is>
          <t>缺损与赔偿：登记页 + 赔偿应收联动</t>
        </is>
      </c>
      <c r="E33" s="8" t="inlineStr">
        <is>
          <t>全栈</t>
        </is>
      </c>
      <c r="F33" s="25" t="n">
        <v>0.5</v>
      </c>
      <c r="G33" s="7" t="inlineStr">
        <is>
          <t>陈金</t>
        </is>
      </c>
      <c r="H33" s="27" t="n">
        <v>46294</v>
      </c>
      <c r="I33" s="27" t="n">
        <v>46294</v>
      </c>
      <c r="J33" s="9" t="inlineStr">
        <is>
          <t>#1 计费规则未确认；租金自动计费（US-14）暂不在基线</t>
        </is>
      </c>
    </row>
    <row r="34" ht="14.5" customHeight="1">
      <c r="A34" s="4" t="inlineStr">
        <is>
          <t>B5</t>
        </is>
      </c>
      <c r="B34" s="4" t="inlineStr">
        <is>
          <t>订单协同</t>
        </is>
      </c>
      <c r="C34" s="4" t="inlineStr">
        <is>
          <t>FP5-01</t>
        </is>
      </c>
      <c r="D34" s="5" t="inlineStr">
        <is>
          <t>客户下单入口：客户端下单页 + 接口校验</t>
        </is>
      </c>
      <c r="E34" s="4" t="inlineStr">
        <is>
          <t>全栈</t>
        </is>
      </c>
      <c r="F34" s="25" t="n">
        <v>1</v>
      </c>
      <c r="G34" s="7" t="inlineStr">
        <is>
          <t>陈金</t>
        </is>
      </c>
      <c r="H34" s="26" t="n">
        <v>46295</v>
      </c>
      <c r="I34" s="26" t="n">
        <v>46295</v>
      </c>
      <c r="J34" s="5" t="inlineStr">
        <is>
          <t>替代客户在路凯下单</t>
        </is>
      </c>
    </row>
    <row r="35" ht="14.5" customHeight="1">
      <c r="A35" s="8" t="inlineStr">
        <is>
          <t>B5</t>
        </is>
      </c>
      <c r="B35" s="8" t="inlineStr">
        <is>
          <t>订单协同</t>
        </is>
      </c>
      <c r="C35" s="8" t="inlineStr">
        <is>
          <t>FP5-02</t>
        </is>
      </c>
      <c r="D35" s="9" t="inlineStr">
        <is>
          <t>订单审核：工作台 + 审核流转</t>
        </is>
      </c>
      <c r="E35" s="8" t="inlineStr">
        <is>
          <t>全栈</t>
        </is>
      </c>
      <c r="F35" s="25" t="n">
        <v>1</v>
      </c>
      <c r="G35" s="7" t="inlineStr">
        <is>
          <t>陈金</t>
        </is>
      </c>
      <c r="H35" s="27" t="n">
        <v>46303</v>
      </c>
      <c r="I35" s="27" t="n">
        <v>46303</v>
      </c>
      <c r="J35" s="9" t="inlineStr"/>
    </row>
    <row r="36" ht="14.5" customHeight="1">
      <c r="A36" s="4" t="inlineStr">
        <is>
          <t>B5</t>
        </is>
      </c>
      <c r="B36" s="4" t="inlineStr">
        <is>
          <t>订单协同</t>
        </is>
      </c>
      <c r="C36" s="4" t="inlineStr">
        <is>
          <t>FP5-03</t>
        </is>
      </c>
      <c r="D36" s="5" t="inlineStr">
        <is>
          <t>对路凯订单下发：下发通道 + 记录重发</t>
        </is>
      </c>
      <c r="E36" s="4" t="inlineStr">
        <is>
          <t>全栈</t>
        </is>
      </c>
      <c r="F36" s="25" t="n">
        <v>1</v>
      </c>
      <c r="G36" s="7" t="inlineStr">
        <is>
          <t>陈金</t>
        </is>
      </c>
      <c r="H36" s="26" t="n">
        <v>46304</v>
      </c>
      <c r="I36" s="26" t="n">
        <v>46304</v>
      </c>
      <c r="J36" s="5" t="inlineStr">
        <is>
          <t>#6 对接方式待定，评估按导出/接口两档</t>
        </is>
      </c>
    </row>
    <row r="37" ht="14.5" customHeight="1">
      <c r="A37" s="8" t="inlineStr">
        <is>
          <t>B5</t>
        </is>
      </c>
      <c r="B37" s="8" t="inlineStr">
        <is>
          <t>订单协同</t>
        </is>
      </c>
      <c r="C37" s="8" t="inlineStr">
        <is>
          <t>FP5-04</t>
        </is>
      </c>
      <c r="D37" s="9" t="inlineStr">
        <is>
          <t>结算数据导出：数据生成 + 导出操作</t>
        </is>
      </c>
      <c r="E37" s="8" t="inlineStr">
        <is>
          <t>全栈</t>
        </is>
      </c>
      <c r="F37" s="25" t="n">
        <v>1</v>
      </c>
      <c r="G37" s="7" t="inlineStr">
        <is>
          <t>陈金</t>
        </is>
      </c>
      <c r="H37" s="27" t="n">
        <v>46307</v>
      </c>
      <c r="I37" s="27" t="n">
        <v>46307</v>
      </c>
      <c r="J37" s="9" t="inlineStr">
        <is>
          <t>#6 结算格式待路凯方提供</t>
        </is>
      </c>
    </row>
    <row r="38" ht="14.5" customHeight="1">
      <c r="A38" s="4" t="inlineStr">
        <is>
          <t>B6</t>
        </is>
      </c>
      <c r="B38" s="4" t="inlineStr">
        <is>
          <t>财务协同</t>
        </is>
      </c>
      <c r="C38" s="4" t="inlineStr">
        <is>
          <t>FP6-01</t>
        </is>
      </c>
      <c r="D38" s="5" t="inlineStr">
        <is>
          <t>应收账单生成：归集规则 + 账单页</t>
        </is>
      </c>
      <c r="E38" s="4" t="inlineStr">
        <is>
          <t>全栈</t>
        </is>
      </c>
      <c r="F38" s="25" t="n">
        <v>1</v>
      </c>
      <c r="G38" s="7" t="inlineStr">
        <is>
          <t>陈金</t>
        </is>
      </c>
      <c r="H38" s="26" t="n">
        <v>46308</v>
      </c>
      <c r="I38" s="26" t="n">
        <v>46308</v>
      </c>
      <c r="J38" s="5" t="inlineStr"/>
    </row>
    <row r="39" ht="14.5" customHeight="1">
      <c r="A39" s="8" t="inlineStr">
        <is>
          <t>B6</t>
        </is>
      </c>
      <c r="B39" s="8" t="inlineStr">
        <is>
          <t>财务协同</t>
        </is>
      </c>
      <c r="C39" s="8" t="inlineStr">
        <is>
          <t>FP6-02</t>
        </is>
      </c>
      <c r="D39" s="9" t="inlineStr">
        <is>
          <t>开票登记：登记页 + 应收关联</t>
        </is>
      </c>
      <c r="E39" s="8" t="inlineStr">
        <is>
          <t>全栈</t>
        </is>
      </c>
      <c r="F39" s="25" t="n">
        <v>1</v>
      </c>
      <c r="G39" s="7" t="inlineStr">
        <is>
          <t>陈金</t>
        </is>
      </c>
      <c r="H39" s="27" t="n">
        <v>46309</v>
      </c>
      <c r="I39" s="27" t="n">
        <v>46309</v>
      </c>
      <c r="J39" s="9" t="inlineStr">
        <is>
          <t>依赖 #8 开票主体信息</t>
        </is>
      </c>
    </row>
    <row r="40" ht="14.5" customHeight="1">
      <c r="A40" s="4" t="inlineStr">
        <is>
          <t>B6</t>
        </is>
      </c>
      <c r="B40" s="4" t="inlineStr">
        <is>
          <t>财务协同</t>
        </is>
      </c>
      <c r="C40" s="4" t="inlineStr">
        <is>
          <t>FP6-03</t>
        </is>
      </c>
      <c r="D40" s="5" t="inlineStr">
        <is>
          <t>回款登记：登记页 + 到账关联</t>
        </is>
      </c>
      <c r="E40" s="4" t="inlineStr">
        <is>
          <t>全栈</t>
        </is>
      </c>
      <c r="F40" s="25" t="n">
        <v>1</v>
      </c>
      <c r="G40" s="7" t="inlineStr">
        <is>
          <t>陈金</t>
        </is>
      </c>
      <c r="H40" s="26" t="n">
        <v>46310</v>
      </c>
      <c r="I40" s="26" t="n">
        <v>46310</v>
      </c>
      <c r="J40" s="5" t="inlineStr"/>
    </row>
    <row r="41" ht="29" customHeight="1">
      <c r="A41" s="8" t="inlineStr">
        <is>
          <t>B6</t>
        </is>
      </c>
      <c r="B41" s="8" t="inlineStr">
        <is>
          <t>财务协同</t>
        </is>
      </c>
      <c r="C41" s="8" t="inlineStr">
        <is>
          <t>FP6-04 ★补缺</t>
        </is>
      </c>
      <c r="D41" s="9" t="inlineStr">
        <is>
          <t>银行水单核销：导入勾对 + 部分核销逻辑 + 对账联调</t>
        </is>
      </c>
      <c r="E41" s="8" t="inlineStr">
        <is>
          <t>全栈</t>
        </is>
      </c>
      <c r="F41" s="25" t="n">
        <v>2</v>
      </c>
      <c r="G41" s="7" t="inlineStr">
        <is>
          <t>陈金</t>
        </is>
      </c>
      <c r="H41" s="27" t="n">
        <v>46311</v>
      </c>
      <c r="I41" s="27" t="n">
        <v>46314</v>
      </c>
      <c r="J41" s="9" t="inlineStr">
        <is>
          <t>现状缺失环节；依赖 #5 水单样例</t>
        </is>
      </c>
    </row>
    <row r="42" ht="14.5" customHeight="1">
      <c r="A42" s="4" t="inlineStr">
        <is>
          <t>B6</t>
        </is>
      </c>
      <c r="B42" s="4" t="inlineStr">
        <is>
          <t>财务协同</t>
        </is>
      </c>
      <c r="C42" s="4" t="inlineStr">
        <is>
          <t>FP6-05</t>
        </is>
      </c>
      <c r="D42" s="5" t="inlineStr">
        <is>
          <t>项目盈亏报表：汇总计算 + 报表页</t>
        </is>
      </c>
      <c r="E42" s="4" t="inlineStr">
        <is>
          <t>全栈</t>
        </is>
      </c>
      <c r="F42" s="25" t="n">
        <v>1</v>
      </c>
      <c r="G42" s="7" t="inlineStr">
        <is>
          <t>陈金</t>
        </is>
      </c>
      <c r="H42" s="26" t="n">
        <v>46315</v>
      </c>
      <c r="I42" s="26" t="n">
        <v>46315</v>
      </c>
      <c r="J42" s="5" t="inlineStr"/>
    </row>
    <row r="43" ht="14.5" customHeight="1">
      <c r="A43" s="8" t="inlineStr">
        <is>
          <t>B7</t>
        </is>
      </c>
      <c r="B43" s="8" t="inlineStr">
        <is>
          <t>系统管理</t>
        </is>
      </c>
      <c r="C43" s="8" t="inlineStr">
        <is>
          <t>FP7-01</t>
        </is>
      </c>
      <c r="D43" s="9" t="inlineStr">
        <is>
          <t>组织与权限：用户角色数据权限 + 管理页</t>
        </is>
      </c>
      <c r="E43" s="8" t="inlineStr">
        <is>
          <t>全栈</t>
        </is>
      </c>
      <c r="F43" s="25" t="n">
        <v>1</v>
      </c>
      <c r="G43" s="7" t="inlineStr">
        <is>
          <t>陈金</t>
        </is>
      </c>
      <c r="H43" s="27" t="n">
        <v>46316</v>
      </c>
      <c r="I43" s="27" t="n">
        <v>46316</v>
      </c>
      <c r="J43" s="9" t="inlineStr"/>
    </row>
    <row r="44" ht="14.5" customHeight="1">
      <c r="A44" s="4" t="inlineStr">
        <is>
          <t>B7</t>
        </is>
      </c>
      <c r="B44" s="4" t="inlineStr">
        <is>
          <t>系统管理</t>
        </is>
      </c>
      <c r="C44" s="4" t="inlineStr">
        <is>
          <t>FP7-02</t>
        </is>
      </c>
      <c r="D44" s="5" t="inlineStr">
        <is>
          <t>操作日志：埋点存储 + 查询页</t>
        </is>
      </c>
      <c r="E44" s="4" t="inlineStr">
        <is>
          <t>全栈</t>
        </is>
      </c>
      <c r="F44" s="25" t="n">
        <v>1</v>
      </c>
      <c r="G44" s="7" t="inlineStr">
        <is>
          <t>陈金</t>
        </is>
      </c>
      <c r="H44" s="26" t="n">
        <v>46317</v>
      </c>
      <c r="I44" s="26" t="n">
        <v>46317</v>
      </c>
      <c r="J44" s="5" t="inlineStr"/>
    </row>
    <row r="45" ht="14.5" customHeight="1">
      <c r="A45" s="8" t="inlineStr">
        <is>
          <t>B7</t>
        </is>
      </c>
      <c r="B45" s="8" t="inlineStr">
        <is>
          <t>系统管理</t>
        </is>
      </c>
      <c r="C45" s="8" t="inlineStr">
        <is>
          <t>FP7-03</t>
        </is>
      </c>
      <c r="D45" s="9" t="inlineStr">
        <is>
          <t>数据字典：字典管理 + 配置页</t>
        </is>
      </c>
      <c r="E45" s="8" t="inlineStr">
        <is>
          <t>全栈</t>
        </is>
      </c>
      <c r="F45" s="25" t="n">
        <v>1</v>
      </c>
      <c r="G45" s="7" t="inlineStr">
        <is>
          <t>陈金</t>
        </is>
      </c>
      <c r="H45" s="27" t="n">
        <v>46318</v>
      </c>
      <c r="I45" s="27" t="n">
        <v>46318</v>
      </c>
      <c r="J45" s="9" t="inlineStr"/>
    </row>
    <row r="46" ht="14.5" customHeight="1">
      <c r="A46" s="4" t="inlineStr">
        <is>
          <t>C1</t>
        </is>
      </c>
      <c r="B46" s="4" t="inlineStr">
        <is>
          <t>测试</t>
        </is>
      </c>
      <c r="C46" s="4" t="inlineStr">
        <is>
          <t>—</t>
        </is>
      </c>
      <c r="D46" s="5" t="inlineStr">
        <is>
          <t>集成测试用例编写与执行</t>
        </is>
      </c>
      <c r="E46" s="4" t="inlineStr">
        <is>
          <t>测试</t>
        </is>
      </c>
      <c r="F46" s="25" t="n">
        <v>2</v>
      </c>
      <c r="G46" s="7" t="inlineStr">
        <is>
          <t>陈金</t>
        </is>
      </c>
      <c r="H46" s="26" t="n">
        <v>46321</v>
      </c>
      <c r="I46" s="26" t="n">
        <v>46322</v>
      </c>
      <c r="J46" s="5" t="inlineStr"/>
    </row>
    <row r="47" ht="14.5" customHeight="1">
      <c r="A47" s="8" t="inlineStr">
        <is>
          <t>C1</t>
        </is>
      </c>
      <c r="B47" s="8" t="inlineStr">
        <is>
          <t>测试</t>
        </is>
      </c>
      <c r="C47" s="8" t="inlineStr">
        <is>
          <t>—</t>
        </is>
      </c>
      <c r="D47" s="9" t="inlineStr">
        <is>
          <t>UAT 支持与缺陷修复</t>
        </is>
      </c>
      <c r="E47" s="8" t="inlineStr">
        <is>
          <t>测试</t>
        </is>
      </c>
      <c r="F47" s="25" t="n">
        <v>2</v>
      </c>
      <c r="G47" s="7" t="inlineStr">
        <is>
          <t>陈金</t>
        </is>
      </c>
      <c r="H47" s="27" t="n">
        <v>46323</v>
      </c>
      <c r="I47" s="27" t="n">
        <v>46324</v>
      </c>
      <c r="J47" s="9" t="inlineStr"/>
    </row>
    <row r="48" ht="14.5" customHeight="1">
      <c r="A48" s="4" t="inlineStr">
        <is>
          <t>C2</t>
        </is>
      </c>
      <c r="B48" s="4" t="inlineStr">
        <is>
          <t>数据迁移</t>
        </is>
      </c>
      <c r="C48" s="4" t="inlineStr">
        <is>
          <t>—</t>
        </is>
      </c>
      <c r="D48" s="5" t="inlineStr">
        <is>
          <t>主数据整理与导入模板</t>
        </is>
      </c>
      <c r="E48" s="4" t="inlineStr">
        <is>
          <t>迁移</t>
        </is>
      </c>
      <c r="F48" s="25" t="n">
        <v>2</v>
      </c>
      <c r="G48" s="7" t="inlineStr">
        <is>
          <t>陈金</t>
        </is>
      </c>
      <c r="H48" s="26" t="n">
        <v>46325</v>
      </c>
      <c r="I48" s="26" t="n">
        <v>46328</v>
      </c>
      <c r="J48" s="5" t="inlineStr">
        <is>
          <t>依赖 #4 主数据清单</t>
        </is>
      </c>
    </row>
    <row r="49" ht="14.5" customHeight="1">
      <c r="A49" s="8" t="inlineStr">
        <is>
          <t>C2</t>
        </is>
      </c>
      <c r="B49" s="8" t="inlineStr">
        <is>
          <t>数据迁移</t>
        </is>
      </c>
      <c r="C49" s="8" t="inlineStr">
        <is>
          <t>—</t>
        </is>
      </c>
      <c r="D49" s="9" t="inlineStr">
        <is>
          <t>期初库存与在租数据迁移</t>
        </is>
      </c>
      <c r="E49" s="8" t="inlineStr">
        <is>
          <t>迁移</t>
        </is>
      </c>
      <c r="F49" s="25" t="n">
        <v>2</v>
      </c>
      <c r="G49" s="7" t="inlineStr">
        <is>
          <t>陈金</t>
        </is>
      </c>
      <c r="H49" s="27" t="n">
        <v>46329</v>
      </c>
      <c r="I49" s="27" t="n">
        <v>46330</v>
      </c>
      <c r="J49" s="9" t="inlineStr">
        <is>
          <t>依赖 #5 现有台账导出</t>
        </is>
      </c>
    </row>
    <row r="50" ht="14.5" customHeight="1">
      <c r="A50" s="4" t="inlineStr">
        <is>
          <t>C2</t>
        </is>
      </c>
      <c r="B50" s="4" t="inlineStr">
        <is>
          <t>数据迁移</t>
        </is>
      </c>
      <c r="C50" s="4" t="inlineStr">
        <is>
          <t>—</t>
        </is>
      </c>
      <c r="D50" s="5" t="inlineStr">
        <is>
          <t>迁移核对与差异处理</t>
        </is>
      </c>
      <c r="E50" s="4" t="inlineStr">
        <is>
          <t>迁移</t>
        </is>
      </c>
      <c r="F50" s="25" t="n">
        <v>2</v>
      </c>
      <c r="G50" s="7" t="inlineStr">
        <is>
          <t>陈金</t>
        </is>
      </c>
      <c r="H50" s="26" t="n">
        <v>46331</v>
      </c>
      <c r="I50" s="26" t="n">
        <v>46332</v>
      </c>
      <c r="J50" s="5" t="inlineStr"/>
    </row>
    <row r="51" ht="14.5" customHeight="1">
      <c r="A51" s="8" t="inlineStr">
        <is>
          <t>C3</t>
        </is>
      </c>
      <c r="B51" s="8" t="inlineStr">
        <is>
          <t>上线部署</t>
        </is>
      </c>
      <c r="C51" s="8" t="inlineStr">
        <is>
          <t>—</t>
        </is>
      </c>
      <c r="D51" s="9" t="inlineStr">
        <is>
          <t>环境部署与发布</t>
        </is>
      </c>
      <c r="E51" s="8" t="inlineStr">
        <is>
          <t>部署</t>
        </is>
      </c>
      <c r="F51" s="25" t="n">
        <v>1</v>
      </c>
      <c r="G51" s="7" t="inlineStr">
        <is>
          <t>陈金</t>
        </is>
      </c>
      <c r="H51" s="27" t="n">
        <v>46335</v>
      </c>
      <c r="I51" s="27" t="n">
        <v>46335</v>
      </c>
      <c r="J51" s="9" t="inlineStr"/>
    </row>
    <row r="52" ht="14.5" customHeight="1">
      <c r="A52" s="4" t="inlineStr">
        <is>
          <t>C3</t>
        </is>
      </c>
      <c r="B52" s="4" t="inlineStr">
        <is>
          <t>上线部署</t>
        </is>
      </c>
      <c r="C52" s="4" t="inlineStr">
        <is>
          <t>—</t>
        </is>
      </c>
      <c r="D52" s="5" t="inlineStr">
        <is>
          <t>上线切换与并行期支持</t>
        </is>
      </c>
      <c r="E52" s="4" t="inlineStr">
        <is>
          <t>部署</t>
        </is>
      </c>
      <c r="F52" s="25" t="n">
        <v>1</v>
      </c>
      <c r="G52" s="7" t="inlineStr">
        <is>
          <t>陈金</t>
        </is>
      </c>
      <c r="H52" s="26" t="n">
        <v>46336</v>
      </c>
      <c r="I52" s="26" t="n">
        <v>46336</v>
      </c>
      <c r="J52" s="5" t="inlineStr"/>
    </row>
    <row r="53" ht="29" customHeight="1">
      <c r="A53" s="8" t="inlineStr">
        <is>
          <t>C3</t>
        </is>
      </c>
      <c r="B53" s="8" t="inlineStr">
        <is>
          <t>上线部署</t>
        </is>
      </c>
      <c r="C53" s="8" t="inlineStr">
        <is>
          <t>—</t>
        </is>
      </c>
      <c r="D53" s="9" t="inlineStr">
        <is>
          <t>线上试运行与并行验证（真实订单并行跑、问题快速响应）</t>
        </is>
      </c>
      <c r="E53" s="8" t="inlineStr">
        <is>
          <t>测试</t>
        </is>
      </c>
      <c r="F53" s="25" t="n">
        <v>5</v>
      </c>
      <c r="G53" s="7" t="inlineStr">
        <is>
          <t>陈金</t>
        </is>
      </c>
      <c r="H53" s="27" t="n">
        <v>46337</v>
      </c>
      <c r="I53" s="27" t="n">
        <v>46343</v>
      </c>
      <c r="J53" s="11" t="inlineStr">
        <is>
          <t>建议预留 2~4 周试运行窗口，客户验收后转正式运行</t>
        </is>
      </c>
    </row>
    <row r="54" ht="14.5" customHeight="1">
      <c r="A54" s="28" t="n"/>
      <c r="B54" s="28" t="n"/>
      <c r="C54" s="28" t="n"/>
      <c r="D54" s="29" t="inlineStr">
        <is>
          <t>合计（人日）</t>
        </is>
      </c>
      <c r="E54" s="28" t="n"/>
      <c r="F54" s="30">
        <f>SUM(F4:F53)</f>
        <v/>
      </c>
      <c r="G54" s="28" t="n"/>
      <c r="H54" s="31" t="n"/>
      <c r="I54" s="31" t="n"/>
      <c r="J54" s="28" t="n"/>
    </row>
  </sheetData>
  <autoFilter ref="A3:J53"/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E4" sqref="E4"/>
    </sheetView>
  </sheetViews>
  <sheetFormatPr baseColWidth="8" defaultColWidth="9" defaultRowHeight="14"/>
  <cols>
    <col width="8" customWidth="1" min="1" max="1"/>
    <col width="18" customWidth="1" min="2" max="2"/>
    <col width="10" customWidth="1" min="3" max="3"/>
    <col width="14" customWidth="1" min="4" max="5"/>
    <col width="40" customWidth="1" min="6" max="6"/>
  </cols>
  <sheetData>
    <row r="1" ht="20" customHeight="1">
      <c r="A1" s="1" t="inlineStr">
        <is>
          <t>汇总与折算（公式驱动，唯一维护处）</t>
        </is>
      </c>
    </row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子任务数</t>
        </is>
      </c>
      <c r="D3" s="3" t="inlineStr">
        <is>
          <t>人日小计·子任务级</t>
        </is>
      </c>
      <c r="E3" s="3" t="inlineStr">
        <is>
          <t>人日小计·全栈级</t>
        </is>
      </c>
      <c r="F3" s="3" t="inlineStr">
        <is>
          <t>关键风险/依赖</t>
        </is>
      </c>
    </row>
    <row r="4" ht="14.5" customHeight="1">
      <c r="A4" s="4" t="inlineStr">
        <is>
          <t>A1</t>
        </is>
      </c>
      <c r="B4" s="4" t="inlineStr">
        <is>
          <t>需求调研与PRD</t>
        </is>
      </c>
      <c r="C4" s="32">
        <f>COUNTIF('评估明细-待激活'!$A:$A,$A4)</f>
        <v/>
      </c>
      <c r="D4" s="32">
        <f>SUMIF('评估明细-待激活'!$A:$A,$A4,'评估明细-待激活'!$F:$F)</f>
        <v/>
      </c>
      <c r="E4" s="32">
        <f>SUMIF('功能点评估（全栈）'!$A:$A,$A4,'功能点评估（全栈）'!$F:$F)</f>
        <v/>
      </c>
      <c r="F4" s="5" t="inlineStr">
        <is>
          <t>#2 #3 材料未齐即启动，PRD 有返工风险</t>
        </is>
      </c>
    </row>
    <row r="5" ht="14.5" customHeight="1">
      <c r="A5" s="4" t="inlineStr">
        <is>
          <t>A2</t>
        </is>
      </c>
      <c r="B5" s="4" t="inlineStr">
        <is>
          <t>原型设计</t>
        </is>
      </c>
      <c r="C5" s="32">
        <f>COUNTIF('评估明细-待激活'!$A:$A,$A5)</f>
        <v/>
      </c>
      <c r="D5" s="32">
        <f>SUMIF('评估明细-待激活'!$A:$A,$A5,'评估明细-待激活'!$F:$F)</f>
        <v/>
      </c>
      <c r="E5" s="32">
        <f>SUMIF('功能点评估（全栈）'!$A:$A,$A5,'功能点评估（全栈）'!$F:$F)</f>
        <v/>
      </c>
      <c r="F5" s="5" t="inlineStr"/>
    </row>
    <row r="6" ht="14.5" customHeight="1">
      <c r="A6" s="4" t="inlineStr">
        <is>
          <t>B0</t>
        </is>
      </c>
      <c r="B6" s="4" t="inlineStr">
        <is>
          <t>公共技术底座</t>
        </is>
      </c>
      <c r="C6" s="32">
        <f>COUNTIF('评估明细-待激活'!$A:$A,$A6)</f>
        <v/>
      </c>
      <c r="D6" s="32">
        <f>SUMIF('评估明细-待激活'!$A:$A,$A6,'评估明细-待激活'!$F:$F)</f>
        <v/>
      </c>
      <c r="E6" s="32">
        <f>SUMIF('功能点评估（全栈）'!$A:$A,$A6,'功能点评估（全栈）'!$F:$F)</f>
        <v/>
      </c>
      <c r="F6" s="5" t="inlineStr">
        <is>
          <t>细化新增行，评估时确认是否保留</t>
        </is>
      </c>
    </row>
    <row r="7" ht="14.5" customHeight="1">
      <c r="A7" s="4" t="inlineStr">
        <is>
          <t>B1</t>
        </is>
      </c>
      <c r="B7" s="4" t="inlineStr">
        <is>
          <t>基础数据</t>
        </is>
      </c>
      <c r="C7" s="32">
        <f>COUNTIF('评估明细-待激活'!$A:$A,$A7)</f>
        <v/>
      </c>
      <c r="D7" s="32">
        <f>SUMIF('评估明细-待激活'!$A:$A,$A7,'评估明细-待激活'!$F:$F)</f>
        <v/>
      </c>
      <c r="E7" s="32">
        <f>SUMIF('功能点评估（全栈）'!$A:$A,$A7,'功能点评估（全栈）'!$F:$F)</f>
        <v/>
      </c>
      <c r="F7" s="5" t="inlineStr"/>
    </row>
    <row r="8" ht="14.5" customHeight="1">
      <c r="A8" s="4" t="inlineStr">
        <is>
          <t>B2</t>
        </is>
      </c>
      <c r="B8" s="4" t="inlineStr">
        <is>
          <t>项目管理中心</t>
        </is>
      </c>
      <c r="C8" s="32">
        <f>COUNTIF('评估明细-待激活'!$A:$A,$A8)</f>
        <v/>
      </c>
      <c r="D8" s="32">
        <f>SUMIF('评估明细-待激活'!$A:$A,$A8,'评估明细-待激活'!$F:$F)</f>
        <v/>
      </c>
      <c r="E8" s="32">
        <f>SUMIF('功能点评估（全栈）'!$A:$A,$A8,'功能点评估（全栈）'!$F:$F)</f>
        <v/>
      </c>
      <c r="F8" s="5" t="inlineStr"/>
    </row>
    <row r="9" ht="14.5" customHeight="1">
      <c r="A9" s="4" t="inlineStr">
        <is>
          <t>B3</t>
        </is>
      </c>
      <c r="B9" s="4" t="inlineStr">
        <is>
          <t>仓储作业 ★核心</t>
        </is>
      </c>
      <c r="C9" s="32">
        <f>COUNTIF('评估明细-待激活'!$A:$A,$A9)</f>
        <v/>
      </c>
      <c r="D9" s="32">
        <f>SUMIF('评估明细-待激活'!$A:$A,$A9,'评估明细-待激活'!$F:$F)</f>
        <v/>
      </c>
      <c r="E9" s="32">
        <f>SUMIF('功能点评估（全栈）'!$A:$A,$A9,'功能点评估（全栈）'!$F:$F)</f>
        <v/>
      </c>
      <c r="F9" s="5" t="inlineStr">
        <is>
          <t>小组装为全新逻辑，PRD 冻结前估算偏差大</t>
        </is>
      </c>
    </row>
    <row r="10" ht="14.5" customHeight="1">
      <c r="A10" s="4" t="inlineStr">
        <is>
          <t>B4</t>
        </is>
      </c>
      <c r="B10" s="4" t="inlineStr">
        <is>
          <t>租赁管理</t>
        </is>
      </c>
      <c r="C10" s="32">
        <f>COUNTIF('评估明细-待激活'!$A:$A,$A10)</f>
        <v/>
      </c>
      <c r="D10" s="32">
        <f>SUMIF('评估明细-待激活'!$A:$A,$A10,'评估明细-待激活'!$F:$F)</f>
        <v/>
      </c>
      <c r="E10" s="32">
        <f>SUMIF('功能点评估（全栈）'!$A:$A,$A10,'功能点评估（全栈）'!$F:$F)</f>
        <v/>
      </c>
      <c r="F10" s="5" t="inlineStr">
        <is>
          <t>#1 计费规则未确认（US-14 暂不在基线）</t>
        </is>
      </c>
    </row>
    <row r="11" ht="14.5" customHeight="1">
      <c r="A11" s="4" t="inlineStr">
        <is>
          <t>B5</t>
        </is>
      </c>
      <c r="B11" s="4" t="inlineStr">
        <is>
          <t>订单协同</t>
        </is>
      </c>
      <c r="C11" s="32">
        <f>COUNTIF('评估明细-待激活'!$A:$A,$A11)</f>
        <v/>
      </c>
      <c r="D11" s="32">
        <f>SUMIF('评估明细-待激活'!$A:$A,$A11,'评估明细-待激活'!$F:$F)</f>
        <v/>
      </c>
      <c r="E11" s="32">
        <f>SUMIF('功能点评估（全栈）'!$A:$A,$A11,'功能点评估（全栈）'!$F:$F)</f>
        <v/>
      </c>
      <c r="F11" s="5" t="inlineStr">
        <is>
          <t>#6 路凯对接方式待定</t>
        </is>
      </c>
    </row>
    <row r="12" ht="14.5" customHeight="1">
      <c r="A12" s="4" t="inlineStr">
        <is>
          <t>B6</t>
        </is>
      </c>
      <c r="B12" s="4" t="inlineStr">
        <is>
          <t>财务协同</t>
        </is>
      </c>
      <c r="C12" s="32">
        <f>COUNTIF('评估明细-待激活'!$A:$A,$A12)</f>
        <v/>
      </c>
      <c r="D12" s="32">
        <f>SUMIF('评估明细-待激活'!$A:$A,$A12,'评估明细-待激活'!$F:$F)</f>
        <v/>
      </c>
      <c r="E12" s="32">
        <f>SUMIF('功能点评估（全栈）'!$A:$A,$A12,'功能点评估（全栈）'!$F:$F)</f>
        <v/>
      </c>
      <c r="F12" s="5" t="inlineStr">
        <is>
          <t>#5 单据/水单样例、#8 开票主体待提供</t>
        </is>
      </c>
    </row>
    <row r="13" ht="14.5" customHeight="1">
      <c r="A13" s="4" t="inlineStr">
        <is>
          <t>B7</t>
        </is>
      </c>
      <c r="B13" s="4" t="inlineStr">
        <is>
          <t>系统管理</t>
        </is>
      </c>
      <c r="C13" s="32">
        <f>COUNTIF('评估明细-待激活'!$A:$A,$A13)</f>
        <v/>
      </c>
      <c r="D13" s="32">
        <f>SUMIF('评估明细-待激活'!$A:$A,$A13,'评估明细-待激活'!$F:$F)</f>
        <v/>
      </c>
      <c r="E13" s="32">
        <f>SUMIF('功能点评估（全栈）'!$A:$A,$A13,'功能点评估（全栈）'!$F:$F)</f>
        <v/>
      </c>
      <c r="F13" s="5" t="inlineStr"/>
    </row>
    <row r="14" ht="14.5" customHeight="1">
      <c r="A14" s="4" t="inlineStr">
        <is>
          <t>C1</t>
        </is>
      </c>
      <c r="B14" s="4" t="inlineStr">
        <is>
          <t>测试</t>
        </is>
      </c>
      <c r="C14" s="32">
        <f>COUNTIF('评估明细-待激活'!$A:$A,$A14)</f>
        <v/>
      </c>
      <c r="D14" s="32">
        <f>SUMIF('评估明细-待激活'!$A:$A,$A14,'评估明细-待激活'!$F:$F)</f>
        <v/>
      </c>
      <c r="E14" s="32">
        <f>SUMIF('功能点评估（全栈）'!$A:$A,$A14,'功能点评估（全栈）'!$F:$F)</f>
        <v/>
      </c>
      <c r="F14" s="5" t="inlineStr"/>
    </row>
    <row r="15" ht="14.5" customHeight="1">
      <c r="A15" s="4" t="inlineStr">
        <is>
          <t>C2</t>
        </is>
      </c>
      <c r="B15" s="4" t="inlineStr">
        <is>
          <t>数据迁移</t>
        </is>
      </c>
      <c r="C15" s="32">
        <f>COUNTIF('评估明细-待激活'!$A:$A,$A15)</f>
        <v/>
      </c>
      <c r="D15" s="32">
        <f>SUMIF('评估明细-待激活'!$A:$A,$A15,'评估明细-待激活'!$F:$F)</f>
        <v/>
      </c>
      <c r="E15" s="32">
        <f>SUMIF('功能点评估（全栈）'!$A:$A,$A15,'功能点评估（全栈）'!$F:$F)</f>
        <v/>
      </c>
      <c r="F15" s="5" t="inlineStr">
        <is>
          <t>#4 主数据清单与格式待提供</t>
        </is>
      </c>
    </row>
    <row r="16" ht="14.5" customHeight="1">
      <c r="A16" s="4" t="inlineStr">
        <is>
          <t>C3</t>
        </is>
      </c>
      <c r="B16" s="4" t="inlineStr">
        <is>
          <t>上线部署</t>
        </is>
      </c>
      <c r="C16" s="32">
        <f>COUNTIF('评估明细-待激活'!$A:$A,$A16)</f>
        <v/>
      </c>
      <c r="D16" s="32">
        <f>SUMIF('评估明细-待激活'!$A:$A,$A16,'评估明细-待激活'!$F:$F)</f>
        <v/>
      </c>
      <c r="E16" s="32">
        <f>SUMIF('功能点评估（全栈）'!$A:$A,$A16,'功能点评估（全栈）'!$F:$F)</f>
        <v/>
      </c>
      <c r="F16" s="5" t="inlineStr"/>
    </row>
    <row r="17" ht="14.5" customHeight="1">
      <c r="A17" s="12" t="n"/>
      <c r="B17" s="13" t="inlineStr">
        <is>
          <t>合计人日</t>
        </is>
      </c>
      <c r="C17" s="12" t="n"/>
      <c r="D17" s="33">
        <f>SUM(D4:D16)</f>
        <v/>
      </c>
      <c r="E17" s="33">
        <f>SUM(E4:E16)</f>
        <v/>
      </c>
      <c r="F17" s="12" t="n"/>
    </row>
    <row r="19" ht="16.5" customHeight="1">
      <c r="A19" s="16" t="inlineStr">
        <is>
          <t>参数与折算</t>
        </is>
      </c>
    </row>
    <row r="20" ht="14.5" customHeight="1">
      <c r="A20" s="17" t="inlineStr">
        <is>
          <t>评估采用口径</t>
        </is>
      </c>
      <c r="C20" s="18" t="inlineStr">
        <is>
          <t>全栈</t>
        </is>
      </c>
      <c r="D20" s="19" t="inlineStr">
        <is>
          <t>子任务级 / 全栈级 二选一，合计与折算随之切换</t>
        </is>
      </c>
    </row>
    <row r="21" ht="14.5" customHeight="1">
      <c r="A21" s="17" t="inlineStr">
        <is>
          <t>缓冲比例</t>
        </is>
      </c>
      <c r="C21" s="20" t="n"/>
      <c r="D21" s="19" t="inlineStr">
        <is>
          <t>建议 15%~20%，覆盖联调与管理裕度</t>
        </is>
      </c>
    </row>
    <row r="22" ht="14.5" customHeight="1">
      <c r="A22" s="17" t="inlineStr">
        <is>
          <t>投入人数</t>
        </is>
      </c>
      <c r="C22" s="18" t="n"/>
      <c r="D22" s="19" t="inlineStr">
        <is>
          <t>对应 P1-R01 第八节 #10，确认后填入</t>
        </is>
      </c>
    </row>
    <row r="23" ht="14.5" customHeight="1">
      <c r="A23" s="17" t="inlineStr">
        <is>
          <t>每月工作日</t>
        </is>
      </c>
      <c r="C23" s="21" t="n">
        <v>21</v>
      </c>
      <c r="D23" s="19" t="inlineStr">
        <is>
          <t>人月折算基准</t>
        </is>
      </c>
    </row>
    <row r="24" ht="14.5" customHeight="1">
      <c r="A24" s="22" t="inlineStr">
        <is>
          <t>采用合计（人日）</t>
        </is>
      </c>
      <c r="C24" s="34">
        <f>IF(IF($C$20="全栈",$E$17,$D$17)=0,"",IF($C$20="全栈",$E$17,$D$17))</f>
        <v/>
      </c>
    </row>
    <row r="25" ht="14.5" customHeight="1">
      <c r="A25" s="22" t="inlineStr">
        <is>
          <t>含缓冲合计（人日）</t>
        </is>
      </c>
      <c r="C25" s="34">
        <f>IF(OR($C$21="",IF($C$20="全栈",$E$17,$D$17)=0),"",IF($C$20="全栈",$E$17,$D$17)*(1+$C$21))</f>
        <v/>
      </c>
    </row>
    <row r="26" ht="14.5" customHeight="1">
      <c r="A26" s="22" t="inlineStr">
        <is>
          <t>日历工期（月）</t>
        </is>
      </c>
      <c r="C26" s="34">
        <f>IF(OR($C$21="",$C$22="",$C$22=0,$C$24=0),"",$C$24/($C$23*$C$22))</f>
        <v/>
      </c>
    </row>
    <row r="27" ht="14.5" customHeight="1">
      <c r="A27" s="22" t="inlineStr">
        <is>
          <t>日历工期（周）</t>
        </is>
      </c>
      <c r="C27" s="34">
        <f>IF(OR($C$21="",$C$22="",$C$22=0,$C$24=0),"",$C$24/($C$23*$C$22)*4.33)</f>
        <v/>
      </c>
    </row>
  </sheetData>
  <dataValidations count="1">
    <dataValidation sqref="C20" showDropDown="0" showInputMessage="0" showErrorMessage="0" allowBlank="1" type="list">
      <formula1>"全栈,明细"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3" topLeftCell="A78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6" customWidth="1" min="1" max="1"/>
    <col width="13" customWidth="1" min="2" max="2"/>
    <col width="11" customWidth="1" min="3" max="3"/>
    <col width="38" customWidth="1" min="4" max="4"/>
    <col width="7" customWidth="1" min="5" max="6"/>
    <col width="9" customWidth="1" min="7" max="7"/>
    <col width="34" customWidth="1" min="8" max="8"/>
  </cols>
  <sheetData>
    <row r="1" ht="20" customHeight="1">
      <c r="A1" s="1" t="inlineStr">
        <is>
          <t>P1-R03 工期评估表 · 子任务级明细</t>
        </is>
      </c>
    </row>
    <row r="2" ht="30" customHeight="1">
      <c r="A2" s="2" t="inlineStr">
        <is>
          <t>口径：人日含概要设计+编码+自测；每功能点按前端/后端/联调拆行，功能点 FP 码对应 P1-R01 第 5.1 节。与「功能点评估（全栈）」二选一填写或交叉校验——汇总表「评估采用口径」决定合计采用哪套数字。黄格待填（人日按 0.5 的倍数），灰格公式勿动。</t>
        </is>
      </c>
    </row>
    <row r="3" ht="14.5" customHeight="1">
      <c r="A3" s="3" t="inlineStr">
        <is>
          <t>WBS</t>
        </is>
      </c>
      <c r="B3" s="3" t="inlineStr">
        <is>
          <t>模块/阶段</t>
        </is>
      </c>
      <c r="C3" s="3" t="inlineStr">
        <is>
          <t>功能点</t>
        </is>
      </c>
      <c r="D3" s="3" t="inlineStr">
        <is>
          <t>任务</t>
        </is>
      </c>
      <c r="E3" s="3" t="inlineStr">
        <is>
          <t>类型</t>
        </is>
      </c>
      <c r="F3" s="3" t="inlineStr">
        <is>
          <t>人日</t>
        </is>
      </c>
      <c r="G3" s="3" t="inlineStr">
        <is>
          <t>评估人</t>
        </is>
      </c>
      <c r="H3" s="3" t="inlineStr">
        <is>
          <t>备注（风险/依赖）</t>
        </is>
      </c>
    </row>
    <row r="4" ht="14.5" customHeight="1">
      <c r="A4" s="4" t="inlineStr">
        <is>
          <t>A1</t>
        </is>
      </c>
      <c r="B4" s="4" t="inlineStr">
        <is>
          <t>需求调研与PRD</t>
        </is>
      </c>
      <c r="C4" s="4" t="inlineStr">
        <is>
          <t>—</t>
        </is>
      </c>
      <c r="D4" s="5" t="inlineStr">
        <is>
          <t>吉客云/路凯页面与字段梳理</t>
        </is>
      </c>
      <c r="E4" s="4" t="inlineStr">
        <is>
          <t>调研</t>
        </is>
      </c>
      <c r="F4" s="25" t="n"/>
      <c r="G4" s="7" t="n"/>
      <c r="H4" s="5" t="inlineStr">
        <is>
          <t>依赖 #2 #3：账号或全套截图到位后开展</t>
        </is>
      </c>
    </row>
    <row r="5" ht="14.5" customHeight="1">
      <c r="A5" s="8" t="inlineStr">
        <is>
          <t>A1</t>
        </is>
      </c>
      <c r="B5" s="8" t="inlineStr">
        <is>
          <t>需求调研与PRD</t>
        </is>
      </c>
      <c r="C5" s="8" t="inlineStr">
        <is>
          <t>—</t>
        </is>
      </c>
      <c r="D5" s="9" t="inlineStr">
        <is>
          <t>计费规则与单据流程确认</t>
        </is>
      </c>
      <c r="E5" s="8" t="inlineStr">
        <is>
          <t>调研</t>
        </is>
      </c>
      <c r="F5" s="25" t="n"/>
      <c r="G5" s="7" t="n"/>
      <c r="H5" s="9" t="inlineStr">
        <is>
          <t>依赖 #1 #5：合同/报价单、单据样例</t>
        </is>
      </c>
    </row>
    <row r="6" ht="14.5" customHeight="1">
      <c r="A6" s="4" t="inlineStr">
        <is>
          <t>A1</t>
        </is>
      </c>
      <c r="B6" s="4" t="inlineStr">
        <is>
          <t>需求调研与PRD</t>
        </is>
      </c>
      <c r="C6" s="4" t="inlineStr">
        <is>
          <t>—</t>
        </is>
      </c>
      <c r="D6" s="5" t="inlineStr">
        <is>
          <t>PRD 编写（按模块分册）</t>
        </is>
      </c>
      <c r="E6" s="4" t="inlineStr">
        <is>
          <t>文档</t>
        </is>
      </c>
      <c r="F6" s="25" t="n"/>
      <c r="G6" s="7" t="n"/>
      <c r="H6" s="5" t="inlineStr"/>
    </row>
    <row r="7" ht="14.5" customHeight="1">
      <c r="A7" s="8" t="inlineStr">
        <is>
          <t>A1</t>
        </is>
      </c>
      <c r="B7" s="8" t="inlineStr">
        <is>
          <t>需求调研与PRD</t>
        </is>
      </c>
      <c r="C7" s="8" t="inlineStr">
        <is>
          <t>—</t>
        </is>
      </c>
      <c r="D7" s="9" t="inlineStr">
        <is>
          <t>PRD 评审与修订</t>
        </is>
      </c>
      <c r="E7" s="8" t="inlineStr">
        <is>
          <t>文档</t>
        </is>
      </c>
      <c r="F7" s="25" t="n"/>
      <c r="G7" s="7" t="n"/>
      <c r="H7" s="9" t="inlineStr">
        <is>
          <t>客户确认后方可冻结范围</t>
        </is>
      </c>
    </row>
    <row r="8" ht="14.5" customHeight="1">
      <c r="A8" s="4" t="inlineStr">
        <is>
          <t>A2</t>
        </is>
      </c>
      <c r="B8" s="4" t="inlineStr">
        <is>
          <t>原型设计</t>
        </is>
      </c>
      <c r="C8" s="4" t="inlineStr">
        <is>
          <t>—</t>
        </is>
      </c>
      <c r="D8" s="5" t="inlineStr">
        <is>
          <t>核心流程原型（仓储作业+订单协同）</t>
        </is>
      </c>
      <c r="E8" s="4" t="inlineStr">
        <is>
          <t>原型</t>
        </is>
      </c>
      <c r="F8" s="25" t="n"/>
      <c r="G8" s="7" t="n"/>
      <c r="H8" s="5" t="inlineStr"/>
    </row>
    <row r="9" ht="14.5" customHeight="1">
      <c r="A9" s="8" t="inlineStr">
        <is>
          <t>A2</t>
        </is>
      </c>
      <c r="B9" s="8" t="inlineStr">
        <is>
          <t>原型设计</t>
        </is>
      </c>
      <c r="C9" s="8" t="inlineStr">
        <is>
          <t>—</t>
        </is>
      </c>
      <c r="D9" s="9" t="inlineStr">
        <is>
          <t>管理与报表原型（项目/财务/基础数据）</t>
        </is>
      </c>
      <c r="E9" s="8" t="inlineStr">
        <is>
          <t>原型</t>
        </is>
      </c>
      <c r="F9" s="25" t="n"/>
      <c r="G9" s="7" t="n"/>
      <c r="H9" s="9" t="inlineStr"/>
    </row>
    <row r="10" ht="14.5" customHeight="1">
      <c r="A10" s="4" t="inlineStr">
        <is>
          <t>A2</t>
        </is>
      </c>
      <c r="B10" s="4" t="inlineStr">
        <is>
          <t>原型设计</t>
        </is>
      </c>
      <c r="C10" s="4" t="inlineStr">
        <is>
          <t>—</t>
        </is>
      </c>
      <c r="D10" s="5" t="inlineStr">
        <is>
          <t>原型评审与修订</t>
        </is>
      </c>
      <c r="E10" s="4" t="inlineStr">
        <is>
          <t>原型</t>
        </is>
      </c>
      <c r="F10" s="25" t="n"/>
      <c r="G10" s="7" t="n"/>
      <c r="H10" s="5" t="inlineStr"/>
    </row>
    <row r="11" ht="29" customHeight="1">
      <c r="A11" s="8" t="inlineStr">
        <is>
          <t>B0</t>
        </is>
      </c>
      <c r="B11" s="8" t="inlineStr">
        <is>
          <t>公共技术底座</t>
        </is>
      </c>
      <c r="C11" s="8" t="inlineStr">
        <is>
          <t>—</t>
        </is>
      </c>
      <c r="D11" s="9" t="inlineStr">
        <is>
          <t>工程脚手架与 CI/CD</t>
        </is>
      </c>
      <c r="E11" s="8" t="inlineStr">
        <is>
          <t>后端</t>
        </is>
      </c>
      <c r="F11" s="25" t="n"/>
      <c r="G11" s="7" t="n"/>
      <c r="H11" s="9" t="inlineStr">
        <is>
          <t>本表细化时新增，非 P1-R01 功能点，评估时确认保留</t>
        </is>
      </c>
    </row>
    <row r="12" ht="14.5" customHeight="1">
      <c r="A12" s="4" t="inlineStr">
        <is>
          <t>B0</t>
        </is>
      </c>
      <c r="B12" s="4" t="inlineStr">
        <is>
          <t>公共技术底座</t>
        </is>
      </c>
      <c r="C12" s="4" t="inlineStr">
        <is>
          <t>—</t>
        </is>
      </c>
      <c r="D12" s="5" t="inlineStr">
        <is>
          <t>登录认证与框架权限</t>
        </is>
      </c>
      <c r="E12" s="4" t="inlineStr">
        <is>
          <t>后端</t>
        </is>
      </c>
      <c r="F12" s="25" t="n"/>
      <c r="G12" s="7" t="n"/>
      <c r="H12" s="5" t="inlineStr"/>
    </row>
    <row r="13" ht="14.5" customHeight="1">
      <c r="A13" s="8" t="inlineStr">
        <is>
          <t>B0</t>
        </is>
      </c>
      <c r="B13" s="8" t="inlineStr">
        <is>
          <t>公共技术底座</t>
        </is>
      </c>
      <c r="C13" s="8" t="inlineStr">
        <is>
          <t>—</t>
        </is>
      </c>
      <c r="D13" s="9" t="inlineStr">
        <is>
          <t>通用组件（单据/列表/导入导出）</t>
        </is>
      </c>
      <c r="E13" s="8" t="inlineStr">
        <is>
          <t>前端</t>
        </is>
      </c>
      <c r="F13" s="25" t="n"/>
      <c r="G13" s="7" t="n"/>
      <c r="H13" s="9" t="inlineStr"/>
    </row>
    <row r="14" ht="14.5" customHeight="1">
      <c r="A14" s="4" t="inlineStr">
        <is>
          <t>B1</t>
        </is>
      </c>
      <c r="B14" s="4" t="inlineStr">
        <is>
          <t>基础数据</t>
        </is>
      </c>
      <c r="C14" s="4" t="inlineStr">
        <is>
          <t>FP1-01</t>
        </is>
      </c>
      <c r="D14" s="5" t="inlineStr">
        <is>
          <t>项目档案列表/表单页</t>
        </is>
      </c>
      <c r="E14" s="4" t="inlineStr">
        <is>
          <t>前端</t>
        </is>
      </c>
      <c r="F14" s="25" t="n"/>
      <c r="G14" s="7" t="n"/>
      <c r="H14" s="5" t="inlineStr"/>
    </row>
    <row r="15" ht="14.5" customHeight="1">
      <c r="A15" s="8" t="inlineStr">
        <is>
          <t>B1</t>
        </is>
      </c>
      <c r="B15" s="8" t="inlineStr">
        <is>
          <t>基础数据</t>
        </is>
      </c>
      <c r="C15" s="8" t="inlineStr">
        <is>
          <t>FP1-01</t>
        </is>
      </c>
      <c r="D15" s="9" t="inlineStr">
        <is>
          <t>项目档案表结构与接口</t>
        </is>
      </c>
      <c r="E15" s="8" t="inlineStr">
        <is>
          <t>后端</t>
        </is>
      </c>
      <c r="F15" s="25" t="n"/>
      <c r="G15" s="7" t="n"/>
      <c r="H15" s="9" t="inlineStr"/>
    </row>
    <row r="16" ht="14.5" customHeight="1">
      <c r="A16" s="4" t="inlineStr">
        <is>
          <t>B1</t>
        </is>
      </c>
      <c r="B16" s="4" t="inlineStr">
        <is>
          <t>基础数据</t>
        </is>
      </c>
      <c r="C16" s="4" t="inlineStr">
        <is>
          <t>FP1-02</t>
        </is>
      </c>
      <c r="D16" s="5" t="inlineStr">
        <is>
          <t>往来单位列表/表单页（客户/供应商/运营方）</t>
        </is>
      </c>
      <c r="E16" s="4" t="inlineStr">
        <is>
          <t>前端</t>
        </is>
      </c>
      <c r="F16" s="25" t="n"/>
      <c r="G16" s="7" t="n"/>
      <c r="H16" s="5" t="inlineStr"/>
    </row>
    <row r="17" ht="14.5" customHeight="1">
      <c r="A17" s="8" t="inlineStr">
        <is>
          <t>B1</t>
        </is>
      </c>
      <c r="B17" s="8" t="inlineStr">
        <is>
          <t>基础数据</t>
        </is>
      </c>
      <c r="C17" s="8" t="inlineStr">
        <is>
          <t>FP1-02</t>
        </is>
      </c>
      <c r="D17" s="9" t="inlineStr">
        <is>
          <t>往来单位表结构与接口（含开票资料）</t>
        </is>
      </c>
      <c r="E17" s="8" t="inlineStr">
        <is>
          <t>后端</t>
        </is>
      </c>
      <c r="F17" s="25" t="n"/>
      <c r="G17" s="7" t="n"/>
      <c r="H17" s="9" t="inlineStr"/>
    </row>
    <row r="18" ht="14.5" customHeight="1">
      <c r="A18" s="4" t="inlineStr">
        <is>
          <t>B1</t>
        </is>
      </c>
      <c r="B18" s="4" t="inlineStr">
        <is>
          <t>基础数据</t>
        </is>
      </c>
      <c r="C18" s="4" t="inlineStr">
        <is>
          <t>FP1-03</t>
        </is>
      </c>
      <c r="D18" s="5" t="inlineStr">
        <is>
          <t>包材档案页面（规格/单位/资产标记）</t>
        </is>
      </c>
      <c r="E18" s="4" t="inlineStr">
        <is>
          <t>前端</t>
        </is>
      </c>
      <c r="F18" s="25" t="n"/>
      <c r="G18" s="7" t="n"/>
      <c r="H18" s="5" t="inlineStr"/>
    </row>
    <row r="19" ht="14.5" customHeight="1">
      <c r="A19" s="8" t="inlineStr">
        <is>
          <t>B1</t>
        </is>
      </c>
      <c r="B19" s="8" t="inlineStr">
        <is>
          <t>基础数据</t>
        </is>
      </c>
      <c r="C19" s="8" t="inlineStr">
        <is>
          <t>FP1-03</t>
        </is>
      </c>
      <c r="D19" s="9" t="inlineStr">
        <is>
          <t>包材表结构与接口</t>
        </is>
      </c>
      <c r="E19" s="8" t="inlineStr">
        <is>
          <t>后端</t>
        </is>
      </c>
      <c r="F19" s="25" t="n"/>
      <c r="G19" s="7" t="n"/>
      <c r="H19" s="9" t="inlineStr"/>
    </row>
    <row r="20" ht="14.5" customHeight="1">
      <c r="A20" s="4" t="inlineStr">
        <is>
          <t>B1</t>
        </is>
      </c>
      <c r="B20" s="4" t="inlineStr">
        <is>
          <t>基础数据</t>
        </is>
      </c>
      <c r="C20" s="4" t="inlineStr">
        <is>
          <t>FP1-04</t>
        </is>
      </c>
      <c r="D20" s="5" t="inlineStr">
        <is>
          <t>零部件档案页面（供应商来源/共用标记）</t>
        </is>
      </c>
      <c r="E20" s="4" t="inlineStr">
        <is>
          <t>前端</t>
        </is>
      </c>
      <c r="F20" s="25" t="n"/>
      <c r="G20" s="7" t="n"/>
      <c r="H20" s="5" t="inlineStr"/>
    </row>
    <row r="21" ht="14.5" customHeight="1">
      <c r="A21" s="8" t="inlineStr">
        <is>
          <t>B1</t>
        </is>
      </c>
      <c r="B21" s="8" t="inlineStr">
        <is>
          <t>基础数据</t>
        </is>
      </c>
      <c r="C21" s="8" t="inlineStr">
        <is>
          <t>FP1-04</t>
        </is>
      </c>
      <c r="D21" s="9" t="inlineStr">
        <is>
          <t>零部件表结构与接口</t>
        </is>
      </c>
      <c r="E21" s="8" t="inlineStr">
        <is>
          <t>后端</t>
        </is>
      </c>
      <c r="F21" s="25" t="n"/>
      <c r="G21" s="7" t="n"/>
      <c r="H21" s="9" t="inlineStr"/>
    </row>
    <row r="22" ht="14.5" customHeight="1">
      <c r="A22" s="4" t="inlineStr">
        <is>
          <t>B1</t>
        </is>
      </c>
      <c r="B22" s="4" t="inlineStr">
        <is>
          <t>基础数据</t>
        </is>
      </c>
      <c r="C22" s="4" t="inlineStr">
        <is>
          <t>FP1-05</t>
        </is>
      </c>
      <c r="D22" s="5" t="inlineStr">
        <is>
          <t>BOM 维护页（母件-子件配比）</t>
        </is>
      </c>
      <c r="E22" s="4" t="inlineStr">
        <is>
          <t>前端</t>
        </is>
      </c>
      <c r="F22" s="25" t="n"/>
      <c r="G22" s="7" t="n"/>
      <c r="H22" s="5" t="inlineStr"/>
    </row>
    <row r="23" ht="14.5" customHeight="1">
      <c r="A23" s="8" t="inlineStr">
        <is>
          <t>B1</t>
        </is>
      </c>
      <c r="B23" s="8" t="inlineStr">
        <is>
          <t>基础数据</t>
        </is>
      </c>
      <c r="C23" s="8" t="inlineStr">
        <is>
          <t>FP1-05</t>
        </is>
      </c>
      <c r="D23" s="9" t="inlineStr">
        <is>
          <t>BOM 版本管理与配比校验逻辑</t>
        </is>
      </c>
      <c r="E23" s="8" t="inlineStr">
        <is>
          <t>后端</t>
        </is>
      </c>
      <c r="F23" s="25" t="n"/>
      <c r="G23" s="7" t="n"/>
      <c r="H23" s="9" t="inlineStr">
        <is>
          <t>配比错误需拦截</t>
        </is>
      </c>
    </row>
    <row r="24" ht="14.5" customHeight="1">
      <c r="A24" s="4" t="inlineStr">
        <is>
          <t>B1</t>
        </is>
      </c>
      <c r="B24" s="4" t="inlineStr">
        <is>
          <t>基础数据</t>
        </is>
      </c>
      <c r="C24" s="4" t="inlineStr">
        <is>
          <t>FP1-06</t>
        </is>
      </c>
      <c r="D24" s="5" t="inlineStr">
        <is>
          <t>库位档案页面（仓/区/位三级）</t>
        </is>
      </c>
      <c r="E24" s="4" t="inlineStr">
        <is>
          <t>前端</t>
        </is>
      </c>
      <c r="F24" s="25" t="n"/>
      <c r="G24" s="7" t="n"/>
      <c r="H24" s="5" t="inlineStr"/>
    </row>
    <row r="25" ht="14.5" customHeight="1">
      <c r="A25" s="8" t="inlineStr">
        <is>
          <t>B1</t>
        </is>
      </c>
      <c r="B25" s="8" t="inlineStr">
        <is>
          <t>基础数据</t>
        </is>
      </c>
      <c r="C25" s="8" t="inlineStr">
        <is>
          <t>FP1-06</t>
        </is>
      </c>
      <c r="D25" s="9" t="inlineStr">
        <is>
          <t>库位表结构与接口</t>
        </is>
      </c>
      <c r="E25" s="8" t="inlineStr">
        <is>
          <t>后端</t>
        </is>
      </c>
      <c r="F25" s="25" t="n"/>
      <c r="G25" s="7" t="n"/>
      <c r="H25" s="9" t="inlineStr"/>
    </row>
    <row r="26" ht="14.5" customHeight="1">
      <c r="A26" s="4" t="inlineStr">
        <is>
          <t>B2</t>
        </is>
      </c>
      <c r="B26" s="4" t="inlineStr">
        <is>
          <t>项目管理中心</t>
        </is>
      </c>
      <c r="C26" s="4" t="inlineStr">
        <is>
          <t>FP2-01</t>
        </is>
      </c>
      <c r="D26" s="5" t="inlineStr">
        <is>
          <t>项目编码规则引擎（可配置）</t>
        </is>
      </c>
      <c r="E26" s="4" t="inlineStr">
        <is>
          <t>后端</t>
        </is>
      </c>
      <c r="F26" s="25" t="n"/>
      <c r="G26" s="7" t="n"/>
      <c r="H26" s="5" t="inlineStr"/>
    </row>
    <row r="27" ht="14.5" customHeight="1">
      <c r="A27" s="8" t="inlineStr">
        <is>
          <t>B2</t>
        </is>
      </c>
      <c r="B27" s="8" t="inlineStr">
        <is>
          <t>项目管理中心</t>
        </is>
      </c>
      <c r="C27" s="8" t="inlineStr">
        <is>
          <t>FP2-01</t>
        </is>
      </c>
      <c r="D27" s="9" t="inlineStr">
        <is>
          <t>编码规则配置页</t>
        </is>
      </c>
      <c r="E27" s="8" t="inlineStr">
        <is>
          <t>前端</t>
        </is>
      </c>
      <c r="F27" s="25" t="n"/>
      <c r="G27" s="7" t="n"/>
      <c r="H27" s="9" t="inlineStr"/>
    </row>
    <row r="28" ht="29" customHeight="1">
      <c r="A28" s="4" t="inlineStr">
        <is>
          <t>B2</t>
        </is>
      </c>
      <c r="B28" s="4" t="inlineStr">
        <is>
          <t>项目管理中心</t>
        </is>
      </c>
      <c r="C28" s="4" t="inlineStr">
        <is>
          <t>FP2-02</t>
        </is>
      </c>
      <c r="D28" s="5" t="inlineStr">
        <is>
          <t>上下游关系维护页（项目↔客户↔运营方↔供应商）</t>
        </is>
      </c>
      <c r="E28" s="4" t="inlineStr">
        <is>
          <t>前端</t>
        </is>
      </c>
      <c r="F28" s="25" t="n"/>
      <c r="G28" s="7" t="n"/>
      <c r="H28" s="5" t="inlineStr"/>
    </row>
    <row r="29" ht="14.5" customHeight="1">
      <c r="A29" s="8" t="inlineStr">
        <is>
          <t>B2</t>
        </is>
      </c>
      <c r="B29" s="8" t="inlineStr">
        <is>
          <t>项目管理中心</t>
        </is>
      </c>
      <c r="C29" s="8" t="inlineStr">
        <is>
          <t>FP2-02</t>
        </is>
      </c>
      <c r="D29" s="9" t="inlineStr">
        <is>
          <t>关系模型与接口</t>
        </is>
      </c>
      <c r="E29" s="8" t="inlineStr">
        <is>
          <t>后端</t>
        </is>
      </c>
      <c r="F29" s="25" t="n"/>
      <c r="G29" s="7" t="n"/>
      <c r="H29" s="9" t="inlineStr"/>
    </row>
    <row r="30" ht="14.5" customHeight="1">
      <c r="A30" s="4" t="inlineStr">
        <is>
          <t>B2</t>
        </is>
      </c>
      <c r="B30" s="4" t="inlineStr">
        <is>
          <t>项目管理中心</t>
        </is>
      </c>
      <c r="C30" s="4" t="inlineStr">
        <is>
          <t>FP2-03</t>
        </is>
      </c>
      <c r="D30" s="5" t="inlineStr">
        <is>
          <t>项目看板页（出入库/营收/盈利图表）</t>
        </is>
      </c>
      <c r="E30" s="4" t="inlineStr">
        <is>
          <t>前端</t>
        </is>
      </c>
      <c r="F30" s="25" t="n"/>
      <c r="G30" s="7" t="n"/>
      <c r="H30" s="5" t="inlineStr"/>
    </row>
    <row r="31" ht="14.5" customHeight="1">
      <c r="A31" s="8" t="inlineStr">
        <is>
          <t>B2</t>
        </is>
      </c>
      <c r="B31" s="8" t="inlineStr">
        <is>
          <t>项目管理中心</t>
        </is>
      </c>
      <c r="C31" s="8" t="inlineStr">
        <is>
          <t>FP2-03</t>
        </is>
      </c>
      <c r="D31" s="9" t="inlineStr">
        <is>
          <t>看板统计接口</t>
        </is>
      </c>
      <c r="E31" s="8" t="inlineStr">
        <is>
          <t>后端</t>
        </is>
      </c>
      <c r="F31" s="25" t="n"/>
      <c r="G31" s="7" t="n"/>
      <c r="H31" s="9" t="inlineStr"/>
    </row>
    <row r="32" ht="14.5" customHeight="1">
      <c r="A32" s="4" t="inlineStr">
        <is>
          <t>B2</t>
        </is>
      </c>
      <c r="B32" s="4" t="inlineStr">
        <is>
          <t>项目管理中心</t>
        </is>
      </c>
      <c r="C32" s="4" t="inlineStr">
        <is>
          <t>FP2-04</t>
        </is>
      </c>
      <c r="D32" s="5" t="inlineStr">
        <is>
          <t>看板明细下钻交互</t>
        </is>
      </c>
      <c r="E32" s="4" t="inlineStr">
        <is>
          <t>前端</t>
        </is>
      </c>
      <c r="F32" s="25" t="n"/>
      <c r="G32" s="7" t="n"/>
      <c r="H32" s="5" t="inlineStr"/>
    </row>
    <row r="33" ht="14.5" customHeight="1">
      <c r="A33" s="8" t="inlineStr">
        <is>
          <t>B2</t>
        </is>
      </c>
      <c r="B33" s="8" t="inlineStr">
        <is>
          <t>项目管理中心</t>
        </is>
      </c>
      <c r="C33" s="8" t="inlineStr">
        <is>
          <t>FP2-04</t>
        </is>
      </c>
      <c r="D33" s="9" t="inlineStr">
        <is>
          <t>穿透查询接口（看板→单据）</t>
        </is>
      </c>
      <c r="E33" s="8" t="inlineStr">
        <is>
          <t>后端</t>
        </is>
      </c>
      <c r="F33" s="25" t="n"/>
      <c r="G33" s="7" t="n"/>
      <c r="H33" s="9" t="inlineStr"/>
    </row>
    <row r="34" ht="14.5" customHeight="1">
      <c r="A34" s="4" t="inlineStr">
        <is>
          <t>B3</t>
        </is>
      </c>
      <c r="B34" s="4" t="inlineStr">
        <is>
          <t>仓储作业 ★核心</t>
        </is>
      </c>
      <c r="C34" s="4" t="inlineStr">
        <is>
          <t>FP3-01</t>
        </is>
      </c>
      <c r="D34" s="5" t="inlineStr">
        <is>
          <t>采购入库单录单页（按零件、以托为单位）</t>
        </is>
      </c>
      <c r="E34" s="4" t="inlineStr">
        <is>
          <t>前端</t>
        </is>
      </c>
      <c r="F34" s="25" t="n"/>
      <c r="G34" s="7" t="n"/>
      <c r="H34" s="5" t="inlineStr"/>
    </row>
    <row r="35" ht="14.5" customHeight="1">
      <c r="A35" s="8" t="inlineStr">
        <is>
          <t>B3</t>
        </is>
      </c>
      <c r="B35" s="8" t="inlineStr">
        <is>
          <t>仓储作业 ★核心</t>
        </is>
      </c>
      <c r="C35" s="8" t="inlineStr">
        <is>
          <t>FP3-01</t>
        </is>
      </c>
      <c r="D35" s="9" t="inlineStr">
        <is>
          <t>入库过账与库存更新逻辑</t>
        </is>
      </c>
      <c r="E35" s="8" t="inlineStr">
        <is>
          <t>后端</t>
        </is>
      </c>
      <c r="F35" s="25" t="n"/>
      <c r="G35" s="7" t="n"/>
      <c r="H35" s="9" t="inlineStr"/>
    </row>
    <row r="36" ht="14.5" customHeight="1">
      <c r="A36" s="4" t="inlineStr">
        <is>
          <t>B3</t>
        </is>
      </c>
      <c r="B36" s="4" t="inlineStr">
        <is>
          <t>仓储作业 ★核心</t>
        </is>
      </c>
      <c r="C36" s="4" t="inlineStr">
        <is>
          <t>FP3-02 ★新增</t>
        </is>
      </c>
      <c r="D36" s="5" t="inlineStr">
        <is>
          <t>小组装单录单页（运营方/时间/数量）</t>
        </is>
      </c>
      <c r="E36" s="4" t="inlineStr">
        <is>
          <t>前端</t>
        </is>
      </c>
      <c r="F36" s="25" t="n"/>
      <c r="G36" s="7" t="n"/>
      <c r="H36" s="5" t="inlineStr">
        <is>
          <t>新逻辑：组装动作首次入系统</t>
        </is>
      </c>
    </row>
    <row r="37" ht="14.5" customHeight="1">
      <c r="A37" s="8" t="inlineStr">
        <is>
          <t>B3</t>
        </is>
      </c>
      <c r="B37" s="8" t="inlineStr">
        <is>
          <t>仓储作业 ★核心</t>
        </is>
      </c>
      <c r="C37" s="8" t="inlineStr">
        <is>
          <t>FP3-02 ★新增</t>
        </is>
      </c>
      <c r="D37" s="9" t="inlineStr">
        <is>
          <t>组装库存转换引擎（子件扣减→母件入库）</t>
        </is>
      </c>
      <c r="E37" s="8" t="inlineStr">
        <is>
          <t>后端</t>
        </is>
      </c>
      <c r="F37" s="25" t="n"/>
      <c r="G37" s="7" t="n"/>
      <c r="H37" s="9" t="inlineStr">
        <is>
          <t>零件/组合双视角库存核心，需 PRD 细化</t>
        </is>
      </c>
    </row>
    <row r="38" ht="14.5" customHeight="1">
      <c r="A38" s="4" t="inlineStr">
        <is>
          <t>B3</t>
        </is>
      </c>
      <c r="B38" s="4" t="inlineStr">
        <is>
          <t>仓储作业 ★核心</t>
        </is>
      </c>
      <c r="C38" s="4" t="inlineStr">
        <is>
          <t>FP3-02 ★新增</t>
        </is>
      </c>
      <c r="D38" s="5" t="inlineStr">
        <is>
          <t>拆件回退（日计划变更场景）</t>
        </is>
      </c>
      <c r="E38" s="4" t="inlineStr">
        <is>
          <t>后端</t>
        </is>
      </c>
      <c r="F38" s="25" t="n"/>
      <c r="G38" s="7" t="n"/>
      <c r="H38" s="5" t="inlineStr">
        <is>
          <t>客户改单频繁，需支持逆向</t>
        </is>
      </c>
    </row>
    <row r="39" ht="14.5" customHeight="1">
      <c r="A39" s="8" t="inlineStr">
        <is>
          <t>B3</t>
        </is>
      </c>
      <c r="B39" s="8" t="inlineStr">
        <is>
          <t>仓储作业 ★核心</t>
        </is>
      </c>
      <c r="C39" s="8" t="inlineStr">
        <is>
          <t>FP3-03</t>
        </is>
      </c>
      <c r="D39" s="9" t="inlineStr">
        <is>
          <t>组合出库单录单页（一箱一件、关联订单）</t>
        </is>
      </c>
      <c r="E39" s="8" t="inlineStr">
        <is>
          <t>前端</t>
        </is>
      </c>
      <c r="F39" s="25" t="n"/>
      <c r="G39" s="7" t="n"/>
      <c r="H39" s="9" t="inlineStr"/>
    </row>
    <row r="40" ht="14.5" customHeight="1">
      <c r="A40" s="4" t="inlineStr">
        <is>
          <t>B3</t>
        </is>
      </c>
      <c r="B40" s="4" t="inlineStr">
        <is>
          <t>仓储作业 ★核心</t>
        </is>
      </c>
      <c r="C40" s="4" t="inlineStr">
        <is>
          <t>FP3-03</t>
        </is>
      </c>
      <c r="D40" s="5" t="inlineStr">
        <is>
          <t>出库过账与在租台账联动</t>
        </is>
      </c>
      <c r="E40" s="4" t="inlineStr">
        <is>
          <t>后端</t>
        </is>
      </c>
      <c r="F40" s="25" t="n"/>
      <c r="G40" s="7" t="n"/>
      <c r="H40" s="5" t="inlineStr"/>
    </row>
    <row r="41" ht="14.5" customHeight="1">
      <c r="A41" s="8" t="inlineStr">
        <is>
          <t>B3</t>
        </is>
      </c>
      <c r="B41" s="8" t="inlineStr">
        <is>
          <t>仓储作业 ★核心</t>
        </is>
      </c>
      <c r="C41" s="8" t="inlineStr">
        <is>
          <t>FP3-04</t>
        </is>
      </c>
      <c r="D41" s="9" t="inlineStr">
        <is>
          <t>退租入库验收单录单页</t>
        </is>
      </c>
      <c r="E41" s="8" t="inlineStr">
        <is>
          <t>前端</t>
        </is>
      </c>
      <c r="F41" s="25" t="n"/>
      <c r="G41" s="7" t="n"/>
      <c r="H41" s="9" t="inlineStr"/>
    </row>
    <row r="42" ht="14.5" customHeight="1">
      <c r="A42" s="4" t="inlineStr">
        <is>
          <t>B3</t>
        </is>
      </c>
      <c r="B42" s="4" t="inlineStr">
        <is>
          <t>仓储作业 ★核心</t>
        </is>
      </c>
      <c r="C42" s="4" t="inlineStr">
        <is>
          <t>FP3-04</t>
        </is>
      </c>
      <c r="D42" s="5" t="inlineStr">
        <is>
          <t>按零件缺损核对与明细记录</t>
        </is>
      </c>
      <c r="E42" s="4" t="inlineStr">
        <is>
          <t>后端</t>
        </is>
      </c>
      <c r="F42" s="25" t="n"/>
      <c r="G42" s="7" t="n"/>
      <c r="H42" s="5" t="inlineStr"/>
    </row>
    <row r="43" ht="14.5" customHeight="1">
      <c r="A43" s="8" t="inlineStr">
        <is>
          <t>B3</t>
        </is>
      </c>
      <c r="B43" s="8" t="inlineStr">
        <is>
          <t>仓储作业 ★核心</t>
        </is>
      </c>
      <c r="C43" s="8" t="inlineStr">
        <is>
          <t>FP3-05</t>
        </is>
      </c>
      <c r="D43" s="9" t="inlineStr">
        <is>
          <t>盘点任务页（零件/组合双口径）</t>
        </is>
      </c>
      <c r="E43" s="8" t="inlineStr">
        <is>
          <t>前端</t>
        </is>
      </c>
      <c r="F43" s="25" t="n"/>
      <c r="G43" s="7" t="n"/>
      <c r="H43" s="9" t="inlineStr"/>
    </row>
    <row r="44" ht="14.5" customHeight="1">
      <c r="A44" s="4" t="inlineStr">
        <is>
          <t>B3</t>
        </is>
      </c>
      <c r="B44" s="4" t="inlineStr">
        <is>
          <t>仓储作业 ★核心</t>
        </is>
      </c>
      <c r="C44" s="4" t="inlineStr">
        <is>
          <t>FP3-05</t>
        </is>
      </c>
      <c r="D44" s="5" t="inlineStr">
        <is>
          <t>盘点生成与盘盈亏过账</t>
        </is>
      </c>
      <c r="E44" s="4" t="inlineStr">
        <is>
          <t>后端</t>
        </is>
      </c>
      <c r="F44" s="25" t="n"/>
      <c r="G44" s="7" t="n"/>
      <c r="H44" s="5" t="inlineStr"/>
    </row>
    <row r="45" ht="14.5" customHeight="1">
      <c r="A45" s="8" t="inlineStr">
        <is>
          <t>B3</t>
        </is>
      </c>
      <c r="B45" s="8" t="inlineStr">
        <is>
          <t>仓储作业 ★核心</t>
        </is>
      </c>
      <c r="C45" s="8" t="inlineStr">
        <is>
          <t>FP3-06</t>
        </is>
      </c>
      <c r="D45" s="9" t="inlineStr">
        <is>
          <t>库存查询页（双视角、项目/库位过滤）</t>
        </is>
      </c>
      <c r="E45" s="8" t="inlineStr">
        <is>
          <t>前端</t>
        </is>
      </c>
      <c r="F45" s="25" t="n"/>
      <c r="G45" s="7" t="n"/>
      <c r="H45" s="9" t="inlineStr"/>
    </row>
    <row r="46" ht="14.5" customHeight="1">
      <c r="A46" s="4" t="inlineStr">
        <is>
          <t>B3</t>
        </is>
      </c>
      <c r="B46" s="4" t="inlineStr">
        <is>
          <t>仓储作业 ★核心</t>
        </is>
      </c>
      <c r="C46" s="4" t="inlineStr">
        <is>
          <t>FP3-06</t>
        </is>
      </c>
      <c r="D46" s="5" t="inlineStr">
        <is>
          <t>双口径库存查询接口</t>
        </is>
      </c>
      <c r="E46" s="4" t="inlineStr">
        <is>
          <t>后端</t>
        </is>
      </c>
      <c r="F46" s="25" t="n"/>
      <c r="G46" s="7" t="n"/>
      <c r="H46" s="5" t="inlineStr"/>
    </row>
    <row r="47" ht="14.5" customHeight="1">
      <c r="A47" s="8" t="inlineStr">
        <is>
          <t>B4</t>
        </is>
      </c>
      <c r="B47" s="8" t="inlineStr">
        <is>
          <t>租赁管理</t>
        </is>
      </c>
      <c r="C47" s="8" t="inlineStr">
        <is>
          <t>FP4-01</t>
        </is>
      </c>
      <c r="D47" s="9" t="inlineStr">
        <is>
          <t>租出台账页（项目/客户/包材）</t>
        </is>
      </c>
      <c r="E47" s="8" t="inlineStr">
        <is>
          <t>前端</t>
        </is>
      </c>
      <c r="F47" s="25" t="n"/>
      <c r="G47" s="7" t="n"/>
      <c r="H47" s="9" t="inlineStr"/>
    </row>
    <row r="48" ht="14.5" customHeight="1">
      <c r="A48" s="4" t="inlineStr">
        <is>
          <t>B4</t>
        </is>
      </c>
      <c r="B48" s="4" t="inlineStr">
        <is>
          <t>租赁管理</t>
        </is>
      </c>
      <c r="C48" s="4" t="inlineStr">
        <is>
          <t>FP4-01</t>
        </is>
      </c>
      <c r="D48" s="5" t="inlineStr">
        <is>
          <t>租出台账接口</t>
        </is>
      </c>
      <c r="E48" s="4" t="inlineStr">
        <is>
          <t>后端</t>
        </is>
      </c>
      <c r="F48" s="25" t="n"/>
      <c r="G48" s="7" t="n"/>
      <c r="H48" s="5" t="inlineStr"/>
    </row>
    <row r="49" ht="14.5" customHeight="1">
      <c r="A49" s="8" t="inlineStr">
        <is>
          <t>B4</t>
        </is>
      </c>
      <c r="B49" s="8" t="inlineStr">
        <is>
          <t>租赁管理</t>
        </is>
      </c>
      <c r="C49" s="8" t="inlineStr">
        <is>
          <t>FP4-02</t>
        </is>
      </c>
      <c r="D49" s="9" t="inlineStr">
        <is>
          <t>在租资产跟踪视图（数量/租期/循环次数）</t>
        </is>
      </c>
      <c r="E49" s="8" t="inlineStr">
        <is>
          <t>前端</t>
        </is>
      </c>
      <c r="F49" s="25" t="n"/>
      <c r="G49" s="7" t="n"/>
      <c r="H49" s="9" t="inlineStr"/>
    </row>
    <row r="50" ht="14.5" customHeight="1">
      <c r="A50" s="4" t="inlineStr">
        <is>
          <t>B4</t>
        </is>
      </c>
      <c r="B50" s="4" t="inlineStr">
        <is>
          <t>租赁管理</t>
        </is>
      </c>
      <c r="C50" s="4" t="inlineStr">
        <is>
          <t>FP4-02</t>
        </is>
      </c>
      <c r="D50" s="5" t="inlineStr">
        <is>
          <t>在租统计接口</t>
        </is>
      </c>
      <c r="E50" s="4" t="inlineStr">
        <is>
          <t>后端</t>
        </is>
      </c>
      <c r="F50" s="25" t="n"/>
      <c r="G50" s="7" t="n"/>
      <c r="H50" s="5" t="inlineStr"/>
    </row>
    <row r="51" ht="14.5" customHeight="1">
      <c r="A51" s="8" t="inlineStr">
        <is>
          <t>B4</t>
        </is>
      </c>
      <c r="B51" s="8" t="inlineStr">
        <is>
          <t>租赁管理</t>
        </is>
      </c>
      <c r="C51" s="8" t="inlineStr">
        <is>
          <t>FP4-03</t>
        </is>
      </c>
      <c r="D51" s="9" t="inlineStr">
        <is>
          <t>循环状态机（在租/退回/缺损/报废）</t>
        </is>
      </c>
      <c r="E51" s="8" t="inlineStr">
        <is>
          <t>后端</t>
        </is>
      </c>
      <c r="F51" s="25" t="n"/>
      <c r="G51" s="7" t="n"/>
      <c r="H51" s="9" t="inlineStr"/>
    </row>
    <row r="52" ht="14.5" customHeight="1">
      <c r="A52" s="4" t="inlineStr">
        <is>
          <t>B4</t>
        </is>
      </c>
      <c r="B52" s="4" t="inlineStr">
        <is>
          <t>租赁管理</t>
        </is>
      </c>
      <c r="C52" s="4" t="inlineStr">
        <is>
          <t>FP4-03</t>
        </is>
      </c>
      <c r="D52" s="5" t="inlineStr">
        <is>
          <t>状态操作与筛选页</t>
        </is>
      </c>
      <c r="E52" s="4" t="inlineStr">
        <is>
          <t>前端</t>
        </is>
      </c>
      <c r="F52" s="25" t="n"/>
      <c r="G52" s="7" t="n"/>
      <c r="H52" s="5" t="inlineStr"/>
    </row>
    <row r="53" ht="14.5" customHeight="1">
      <c r="A53" s="8" t="inlineStr">
        <is>
          <t>B4</t>
        </is>
      </c>
      <c r="B53" s="8" t="inlineStr">
        <is>
          <t>租赁管理</t>
        </is>
      </c>
      <c r="C53" s="8" t="inlineStr">
        <is>
          <t>FP4-04</t>
        </is>
      </c>
      <c r="D53" s="9" t="inlineStr">
        <is>
          <t>缺损登记页</t>
        </is>
      </c>
      <c r="E53" s="8" t="inlineStr">
        <is>
          <t>前端</t>
        </is>
      </c>
      <c r="F53" s="25" t="n"/>
      <c r="G53" s="7" t="n"/>
      <c r="H53" s="9" t="inlineStr"/>
    </row>
    <row r="54" ht="29" customHeight="1">
      <c r="A54" s="4" t="inlineStr">
        <is>
          <t>B4</t>
        </is>
      </c>
      <c r="B54" s="4" t="inlineStr">
        <is>
          <t>租赁管理</t>
        </is>
      </c>
      <c r="C54" s="4" t="inlineStr">
        <is>
          <t>FP4-04</t>
        </is>
      </c>
      <c r="D54" s="5" t="inlineStr">
        <is>
          <t>缺损→赔偿应收联动</t>
        </is>
      </c>
      <c r="E54" s="4" t="inlineStr">
        <is>
          <t>后端</t>
        </is>
      </c>
      <c r="F54" s="25" t="n"/>
      <c r="G54" s="7" t="n"/>
      <c r="H54" s="5" t="inlineStr">
        <is>
          <t>#1 计费规则未确认；租金自动计费（US-14）暂不在基线</t>
        </is>
      </c>
    </row>
    <row r="55" ht="14.5" customHeight="1">
      <c r="A55" s="8" t="inlineStr">
        <is>
          <t>B5</t>
        </is>
      </c>
      <c r="B55" s="8" t="inlineStr">
        <is>
          <t>订单协同</t>
        </is>
      </c>
      <c r="C55" s="8" t="inlineStr">
        <is>
          <t>FP5-01</t>
        </is>
      </c>
      <c r="D55" s="9" t="inlineStr">
        <is>
          <t>客户端下单页（客户身份隔离）</t>
        </is>
      </c>
      <c r="E55" s="8" t="inlineStr">
        <is>
          <t>前端</t>
        </is>
      </c>
      <c r="F55" s="25" t="n"/>
      <c r="G55" s="7" t="n"/>
      <c r="H55" s="9" t="inlineStr">
        <is>
          <t>替代客户在路凯下单</t>
        </is>
      </c>
    </row>
    <row r="56" ht="14.5" customHeight="1">
      <c r="A56" s="4" t="inlineStr">
        <is>
          <t>B5</t>
        </is>
      </c>
      <c r="B56" s="4" t="inlineStr">
        <is>
          <t>订单协同</t>
        </is>
      </c>
      <c r="C56" s="4" t="inlineStr">
        <is>
          <t>FP5-01</t>
        </is>
      </c>
      <c r="D56" s="5" t="inlineStr">
        <is>
          <t>下单接口与校验</t>
        </is>
      </c>
      <c r="E56" s="4" t="inlineStr">
        <is>
          <t>后端</t>
        </is>
      </c>
      <c r="F56" s="25" t="n"/>
      <c r="G56" s="7" t="n"/>
      <c r="H56" s="5" t="inlineStr"/>
    </row>
    <row r="57" ht="14.5" customHeight="1">
      <c r="A57" s="8" t="inlineStr">
        <is>
          <t>B5</t>
        </is>
      </c>
      <c r="B57" s="8" t="inlineStr">
        <is>
          <t>订单协同</t>
        </is>
      </c>
      <c r="C57" s="8" t="inlineStr">
        <is>
          <t>FP5-02</t>
        </is>
      </c>
      <c r="D57" s="9" t="inlineStr">
        <is>
          <t>订单审核工作台</t>
        </is>
      </c>
      <c r="E57" s="8" t="inlineStr">
        <is>
          <t>前端</t>
        </is>
      </c>
      <c r="F57" s="25" t="n"/>
      <c r="G57" s="7" t="n"/>
      <c r="H57" s="9" t="inlineStr"/>
    </row>
    <row r="58" ht="14.5" customHeight="1">
      <c r="A58" s="4" t="inlineStr">
        <is>
          <t>B5</t>
        </is>
      </c>
      <c r="B58" s="4" t="inlineStr">
        <is>
          <t>订单协同</t>
        </is>
      </c>
      <c r="C58" s="4" t="inlineStr">
        <is>
          <t>FP5-02</t>
        </is>
      </c>
      <c r="D58" s="5" t="inlineStr">
        <is>
          <t>审核流转逻辑</t>
        </is>
      </c>
      <c r="E58" s="4" t="inlineStr">
        <is>
          <t>后端</t>
        </is>
      </c>
      <c r="F58" s="25" t="n"/>
      <c r="G58" s="7" t="n"/>
      <c r="H58" s="5" t="inlineStr"/>
    </row>
    <row r="59" ht="14.5" customHeight="1">
      <c r="A59" s="8" t="inlineStr">
        <is>
          <t>B5</t>
        </is>
      </c>
      <c r="B59" s="8" t="inlineStr">
        <is>
          <t>订单协同</t>
        </is>
      </c>
      <c r="C59" s="8" t="inlineStr">
        <is>
          <t>FP5-03</t>
        </is>
      </c>
      <c r="D59" s="9" t="inlineStr">
        <is>
          <t>对路凯下发通道（接口或导出）</t>
        </is>
      </c>
      <c r="E59" s="8" t="inlineStr">
        <is>
          <t>后端</t>
        </is>
      </c>
      <c r="F59" s="25" t="n"/>
      <c r="G59" s="7" t="n"/>
      <c r="H59" s="9" t="inlineStr">
        <is>
          <t>#6 对接方式待定，评估按导出/接口两档</t>
        </is>
      </c>
    </row>
    <row r="60" ht="14.5" customHeight="1">
      <c r="A60" s="4" t="inlineStr">
        <is>
          <t>B5</t>
        </is>
      </c>
      <c r="B60" s="4" t="inlineStr">
        <is>
          <t>订单协同</t>
        </is>
      </c>
      <c r="C60" s="4" t="inlineStr">
        <is>
          <t>FP5-03</t>
        </is>
      </c>
      <c r="D60" s="5" t="inlineStr">
        <is>
          <t>下发记录与重发操作</t>
        </is>
      </c>
      <c r="E60" s="4" t="inlineStr">
        <is>
          <t>前端</t>
        </is>
      </c>
      <c r="F60" s="25" t="n"/>
      <c r="G60" s="7" t="n"/>
      <c r="H60" s="5" t="inlineStr"/>
    </row>
    <row r="61" ht="14.5" customHeight="1">
      <c r="A61" s="8" t="inlineStr">
        <is>
          <t>B5</t>
        </is>
      </c>
      <c r="B61" s="8" t="inlineStr">
        <is>
          <t>订单协同</t>
        </is>
      </c>
      <c r="C61" s="8" t="inlineStr">
        <is>
          <t>FP5-04</t>
        </is>
      </c>
      <c r="D61" s="9" t="inlineStr">
        <is>
          <t>结算数据生成</t>
        </is>
      </c>
      <c r="E61" s="8" t="inlineStr">
        <is>
          <t>后端</t>
        </is>
      </c>
      <c r="F61" s="25" t="n"/>
      <c r="G61" s="7" t="n"/>
      <c r="H61" s="9" t="inlineStr">
        <is>
          <t>#6 结算格式待路凯方提供</t>
        </is>
      </c>
    </row>
    <row r="62" ht="14.5" customHeight="1">
      <c r="A62" s="4" t="inlineStr">
        <is>
          <t>B5</t>
        </is>
      </c>
      <c r="B62" s="4" t="inlineStr">
        <is>
          <t>订单协同</t>
        </is>
      </c>
      <c r="C62" s="4" t="inlineStr">
        <is>
          <t>FP5-04</t>
        </is>
      </c>
      <c r="D62" s="5" t="inlineStr">
        <is>
          <t>结算导出操作页</t>
        </is>
      </c>
      <c r="E62" s="4" t="inlineStr">
        <is>
          <t>前端</t>
        </is>
      </c>
      <c r="F62" s="25" t="n"/>
      <c r="G62" s="7" t="n"/>
      <c r="H62" s="5" t="inlineStr"/>
    </row>
    <row r="63" ht="14.5" customHeight="1">
      <c r="A63" s="8" t="inlineStr">
        <is>
          <t>B6</t>
        </is>
      </c>
      <c r="B63" s="8" t="inlineStr">
        <is>
          <t>财务协同</t>
        </is>
      </c>
      <c r="C63" s="8" t="inlineStr">
        <is>
          <t>FP6-01</t>
        </is>
      </c>
      <c r="D63" s="9" t="inlineStr">
        <is>
          <t>应收归集规则（按项目/客户）</t>
        </is>
      </c>
      <c r="E63" s="8" t="inlineStr">
        <is>
          <t>后端</t>
        </is>
      </c>
      <c r="F63" s="25" t="n"/>
      <c r="G63" s="7" t="n"/>
      <c r="H63" s="9" t="inlineStr"/>
    </row>
    <row r="64" ht="14.5" customHeight="1">
      <c r="A64" s="4" t="inlineStr">
        <is>
          <t>B6</t>
        </is>
      </c>
      <c r="B64" s="4" t="inlineStr">
        <is>
          <t>财务协同</t>
        </is>
      </c>
      <c r="C64" s="4" t="inlineStr">
        <is>
          <t>FP6-01</t>
        </is>
      </c>
      <c r="D64" s="5" t="inlineStr">
        <is>
          <t>应收账单列表页</t>
        </is>
      </c>
      <c r="E64" s="4" t="inlineStr">
        <is>
          <t>前端</t>
        </is>
      </c>
      <c r="F64" s="25" t="n"/>
      <c r="G64" s="7" t="n"/>
      <c r="H64" s="5" t="inlineStr"/>
    </row>
    <row r="65" ht="14.5" customHeight="1">
      <c r="A65" s="8" t="inlineStr">
        <is>
          <t>B6</t>
        </is>
      </c>
      <c r="B65" s="8" t="inlineStr">
        <is>
          <t>财务协同</t>
        </is>
      </c>
      <c r="C65" s="8" t="inlineStr">
        <is>
          <t>FP6-02</t>
        </is>
      </c>
      <c r="D65" s="9" t="inlineStr">
        <is>
          <t>开票登记页</t>
        </is>
      </c>
      <c r="E65" s="8" t="inlineStr">
        <is>
          <t>前端</t>
        </is>
      </c>
      <c r="F65" s="25" t="n"/>
      <c r="G65" s="7" t="n"/>
      <c r="H65" s="9" t="inlineStr"/>
    </row>
    <row r="66" ht="14.5" customHeight="1">
      <c r="A66" s="4" t="inlineStr">
        <is>
          <t>B6</t>
        </is>
      </c>
      <c r="B66" s="4" t="inlineStr">
        <is>
          <t>财务协同</t>
        </is>
      </c>
      <c r="C66" s="4" t="inlineStr">
        <is>
          <t>FP6-02</t>
        </is>
      </c>
      <c r="D66" s="5" t="inlineStr">
        <is>
          <t>开票与应收关联逻辑</t>
        </is>
      </c>
      <c r="E66" s="4" t="inlineStr">
        <is>
          <t>后端</t>
        </is>
      </c>
      <c r="F66" s="25" t="n"/>
      <c r="G66" s="7" t="n"/>
      <c r="H66" s="5" t="inlineStr">
        <is>
          <t>依赖 #8 开票主体信息</t>
        </is>
      </c>
    </row>
    <row r="67" ht="14.5" customHeight="1">
      <c r="A67" s="8" t="inlineStr">
        <is>
          <t>B6</t>
        </is>
      </c>
      <c r="B67" s="8" t="inlineStr">
        <is>
          <t>财务协同</t>
        </is>
      </c>
      <c r="C67" s="8" t="inlineStr">
        <is>
          <t>FP6-03</t>
        </is>
      </c>
      <c r="D67" s="9" t="inlineStr">
        <is>
          <t>回款登记页</t>
        </is>
      </c>
      <c r="E67" s="8" t="inlineStr">
        <is>
          <t>前端</t>
        </is>
      </c>
      <c r="F67" s="25" t="n"/>
      <c r="G67" s="7" t="n"/>
      <c r="H67" s="9" t="inlineStr"/>
    </row>
    <row r="68" ht="14.5" customHeight="1">
      <c r="A68" s="4" t="inlineStr">
        <is>
          <t>B6</t>
        </is>
      </c>
      <c r="B68" s="4" t="inlineStr">
        <is>
          <t>财务协同</t>
        </is>
      </c>
      <c r="C68" s="4" t="inlineStr">
        <is>
          <t>FP6-03</t>
        </is>
      </c>
      <c r="D68" s="5" t="inlineStr">
        <is>
          <t>到账录入与关联</t>
        </is>
      </c>
      <c r="E68" s="4" t="inlineStr">
        <is>
          <t>后端</t>
        </is>
      </c>
      <c r="F68" s="25" t="n"/>
      <c r="G68" s="7" t="n"/>
      <c r="H68" s="5" t="inlineStr"/>
    </row>
    <row r="69" ht="14.5" customHeight="1">
      <c r="A69" s="8" t="inlineStr">
        <is>
          <t>B6</t>
        </is>
      </c>
      <c r="B69" s="8" t="inlineStr">
        <is>
          <t>财务协同</t>
        </is>
      </c>
      <c r="C69" s="8" t="inlineStr">
        <is>
          <t>FP6-04 ★补缺</t>
        </is>
      </c>
      <c r="D69" s="9" t="inlineStr">
        <is>
          <t>银行水单导入与勾对界面</t>
        </is>
      </c>
      <c r="E69" s="8" t="inlineStr">
        <is>
          <t>前端</t>
        </is>
      </c>
      <c r="F69" s="25" t="n"/>
      <c r="G69" s="7" t="n"/>
      <c r="H69" s="9" t="inlineStr">
        <is>
          <t>现状缺失环节</t>
        </is>
      </c>
    </row>
    <row r="70" ht="14.5" customHeight="1">
      <c r="A70" s="4" t="inlineStr">
        <is>
          <t>B6</t>
        </is>
      </c>
      <c r="B70" s="4" t="inlineStr">
        <is>
          <t>财务协同</t>
        </is>
      </c>
      <c r="C70" s="4" t="inlineStr">
        <is>
          <t>FP6-04 ★补缺</t>
        </is>
      </c>
      <c r="D70" s="5" t="inlineStr">
        <is>
          <t>逐笔核销逻辑（支持部分核销）</t>
        </is>
      </c>
      <c r="E70" s="4" t="inlineStr">
        <is>
          <t>后端</t>
        </is>
      </c>
      <c r="F70" s="25" t="n"/>
      <c r="G70" s="7" t="n"/>
      <c r="H70" s="5" t="inlineStr">
        <is>
          <t>依赖 #5 水单样例</t>
        </is>
      </c>
    </row>
    <row r="71" ht="14.5" customHeight="1">
      <c r="A71" s="8" t="inlineStr">
        <is>
          <t>B6</t>
        </is>
      </c>
      <c r="B71" s="8" t="inlineStr">
        <is>
          <t>财务协同</t>
        </is>
      </c>
      <c r="C71" s="8" t="inlineStr">
        <is>
          <t>FP6-04 ★补缺</t>
        </is>
      </c>
      <c r="D71" s="9" t="inlineStr">
        <is>
          <t>核销对账场景联调验证</t>
        </is>
      </c>
      <c r="E71" s="8" t="inlineStr">
        <is>
          <t>联调</t>
        </is>
      </c>
      <c r="F71" s="25" t="n"/>
      <c r="G71" s="7" t="n"/>
      <c r="H71" s="9" t="inlineStr"/>
    </row>
    <row r="72" ht="14.5" customHeight="1">
      <c r="A72" s="4" t="inlineStr">
        <is>
          <t>B6</t>
        </is>
      </c>
      <c r="B72" s="4" t="inlineStr">
        <is>
          <t>财务协同</t>
        </is>
      </c>
      <c r="C72" s="4" t="inlineStr">
        <is>
          <t>FP6-05</t>
        </is>
      </c>
      <c r="D72" s="5" t="inlineStr">
        <is>
          <t>项目盈亏汇总计算</t>
        </is>
      </c>
      <c r="E72" s="4" t="inlineStr">
        <is>
          <t>后端</t>
        </is>
      </c>
      <c r="F72" s="25" t="n"/>
      <c r="G72" s="7" t="n"/>
      <c r="H72" s="5" t="inlineStr"/>
    </row>
    <row r="73" ht="14.5" customHeight="1">
      <c r="A73" s="8" t="inlineStr">
        <is>
          <t>B6</t>
        </is>
      </c>
      <c r="B73" s="8" t="inlineStr">
        <is>
          <t>财务协同</t>
        </is>
      </c>
      <c r="C73" s="8" t="inlineStr">
        <is>
          <t>FP6-05</t>
        </is>
      </c>
      <c r="D73" s="9" t="inlineStr">
        <is>
          <t>盈亏报表页</t>
        </is>
      </c>
      <c r="E73" s="8" t="inlineStr">
        <is>
          <t>前端</t>
        </is>
      </c>
      <c r="F73" s="25" t="n"/>
      <c r="G73" s="7" t="n"/>
      <c r="H73" s="9" t="inlineStr"/>
    </row>
    <row r="74" ht="14.5" customHeight="1">
      <c r="A74" s="4" t="inlineStr">
        <is>
          <t>B7</t>
        </is>
      </c>
      <c r="B74" s="4" t="inlineStr">
        <is>
          <t>系统管理</t>
        </is>
      </c>
      <c r="C74" s="4" t="inlineStr">
        <is>
          <t>FP7-01</t>
        </is>
      </c>
      <c r="D74" s="5" t="inlineStr">
        <is>
          <t>用户/角色/数据权限（我方与客户隔离）</t>
        </is>
      </c>
      <c r="E74" s="4" t="inlineStr">
        <is>
          <t>后端</t>
        </is>
      </c>
      <c r="F74" s="25" t="n"/>
      <c r="G74" s="7" t="n"/>
      <c r="H74" s="5" t="inlineStr"/>
    </row>
    <row r="75" ht="14.5" customHeight="1">
      <c r="A75" s="8" t="inlineStr">
        <is>
          <t>B7</t>
        </is>
      </c>
      <c r="B75" s="8" t="inlineStr">
        <is>
          <t>系统管理</t>
        </is>
      </c>
      <c r="C75" s="8" t="inlineStr">
        <is>
          <t>FP7-01</t>
        </is>
      </c>
      <c r="D75" s="9" t="inlineStr">
        <is>
          <t>组织权限管理页</t>
        </is>
      </c>
      <c r="E75" s="8" t="inlineStr">
        <is>
          <t>前端</t>
        </is>
      </c>
      <c r="F75" s="25" t="n"/>
      <c r="G75" s="7" t="n"/>
      <c r="H75" s="9" t="inlineStr"/>
    </row>
    <row r="76" ht="14.5" customHeight="1">
      <c r="A76" s="4" t="inlineStr">
        <is>
          <t>B7</t>
        </is>
      </c>
      <c r="B76" s="4" t="inlineStr">
        <is>
          <t>系统管理</t>
        </is>
      </c>
      <c r="C76" s="4" t="inlineStr">
        <is>
          <t>FP7-02</t>
        </is>
      </c>
      <c r="D76" s="5" t="inlineStr">
        <is>
          <t>操作日志埋点与存储</t>
        </is>
      </c>
      <c r="E76" s="4" t="inlineStr">
        <is>
          <t>后端</t>
        </is>
      </c>
      <c r="F76" s="25" t="n"/>
      <c r="G76" s="7" t="n"/>
      <c r="H76" s="5" t="inlineStr"/>
    </row>
    <row r="77" ht="14.5" customHeight="1">
      <c r="A77" s="8" t="inlineStr">
        <is>
          <t>B7</t>
        </is>
      </c>
      <c r="B77" s="8" t="inlineStr">
        <is>
          <t>系统管理</t>
        </is>
      </c>
      <c r="C77" s="8" t="inlineStr">
        <is>
          <t>FP7-02</t>
        </is>
      </c>
      <c r="D77" s="9" t="inlineStr">
        <is>
          <t>日志查询页</t>
        </is>
      </c>
      <c r="E77" s="8" t="inlineStr">
        <is>
          <t>前端</t>
        </is>
      </c>
      <c r="F77" s="25" t="n"/>
      <c r="G77" s="7" t="n"/>
      <c r="H77" s="9" t="inlineStr"/>
    </row>
    <row r="78" ht="14.5" customHeight="1">
      <c r="A78" s="4" t="inlineStr">
        <is>
          <t>B7</t>
        </is>
      </c>
      <c r="B78" s="4" t="inlineStr">
        <is>
          <t>系统管理</t>
        </is>
      </c>
      <c r="C78" s="4" t="inlineStr">
        <is>
          <t>FP7-03</t>
        </is>
      </c>
      <c r="D78" s="5" t="inlineStr">
        <is>
          <t>数据字典管理</t>
        </is>
      </c>
      <c r="E78" s="4" t="inlineStr">
        <is>
          <t>后端</t>
        </is>
      </c>
      <c r="F78" s="25" t="n"/>
      <c r="G78" s="7" t="n"/>
      <c r="H78" s="5" t="inlineStr"/>
    </row>
    <row r="79" ht="14.5" customHeight="1">
      <c r="A79" s="8" t="inlineStr">
        <is>
          <t>B7</t>
        </is>
      </c>
      <c r="B79" s="8" t="inlineStr">
        <is>
          <t>系统管理</t>
        </is>
      </c>
      <c r="C79" s="8" t="inlineStr">
        <is>
          <t>FP7-03</t>
        </is>
      </c>
      <c r="D79" s="9" t="inlineStr">
        <is>
          <t>字典配置页</t>
        </is>
      </c>
      <c r="E79" s="8" t="inlineStr">
        <is>
          <t>前端</t>
        </is>
      </c>
      <c r="F79" s="25" t="n"/>
      <c r="G79" s="7" t="n"/>
      <c r="H79" s="9" t="inlineStr"/>
    </row>
    <row r="80" ht="14.5" customHeight="1">
      <c r="A80" s="4" t="inlineStr">
        <is>
          <t>C1</t>
        </is>
      </c>
      <c r="B80" s="4" t="inlineStr">
        <is>
          <t>测试</t>
        </is>
      </c>
      <c r="C80" s="4" t="inlineStr">
        <is>
          <t>—</t>
        </is>
      </c>
      <c r="D80" s="5" t="inlineStr">
        <is>
          <t>集成测试用例编写与执行</t>
        </is>
      </c>
      <c r="E80" s="4" t="inlineStr">
        <is>
          <t>测试</t>
        </is>
      </c>
      <c r="F80" s="25" t="n"/>
      <c r="G80" s="7" t="n"/>
      <c r="H80" s="5" t="inlineStr"/>
    </row>
    <row r="81" ht="14.5" customHeight="1">
      <c r="A81" s="8" t="inlineStr">
        <is>
          <t>C1</t>
        </is>
      </c>
      <c r="B81" s="8" t="inlineStr">
        <is>
          <t>测试</t>
        </is>
      </c>
      <c r="C81" s="8" t="inlineStr">
        <is>
          <t>—</t>
        </is>
      </c>
      <c r="D81" s="9" t="inlineStr">
        <is>
          <t>UAT 支持与缺陷修复</t>
        </is>
      </c>
      <c r="E81" s="8" t="inlineStr">
        <is>
          <t>测试</t>
        </is>
      </c>
      <c r="F81" s="25" t="n"/>
      <c r="G81" s="7" t="n"/>
      <c r="H81" s="9" t="inlineStr"/>
    </row>
    <row r="82" ht="14.5" customHeight="1">
      <c r="A82" s="4" t="inlineStr">
        <is>
          <t>C2</t>
        </is>
      </c>
      <c r="B82" s="4" t="inlineStr">
        <is>
          <t>数据迁移</t>
        </is>
      </c>
      <c r="C82" s="4" t="inlineStr">
        <is>
          <t>—</t>
        </is>
      </c>
      <c r="D82" s="5" t="inlineStr">
        <is>
          <t>主数据整理与导入模板</t>
        </is>
      </c>
      <c r="E82" s="4" t="inlineStr">
        <is>
          <t>迁移</t>
        </is>
      </c>
      <c r="F82" s="25" t="n"/>
      <c r="G82" s="7" t="n"/>
      <c r="H82" s="5" t="inlineStr">
        <is>
          <t>依赖 #4 主数据清单</t>
        </is>
      </c>
    </row>
    <row r="83" ht="14.5" customHeight="1">
      <c r="A83" s="8" t="inlineStr">
        <is>
          <t>C2</t>
        </is>
      </c>
      <c r="B83" s="8" t="inlineStr">
        <is>
          <t>数据迁移</t>
        </is>
      </c>
      <c r="C83" s="8" t="inlineStr">
        <is>
          <t>—</t>
        </is>
      </c>
      <c r="D83" s="9" t="inlineStr">
        <is>
          <t>期初库存与在租数据迁移</t>
        </is>
      </c>
      <c r="E83" s="8" t="inlineStr">
        <is>
          <t>迁移</t>
        </is>
      </c>
      <c r="F83" s="25" t="n"/>
      <c r="G83" s="7" t="n"/>
      <c r="H83" s="9" t="inlineStr">
        <is>
          <t>依赖 #5 现有台账导出</t>
        </is>
      </c>
    </row>
    <row r="84" ht="14.5" customHeight="1">
      <c r="A84" s="4" t="inlineStr">
        <is>
          <t>C2</t>
        </is>
      </c>
      <c r="B84" s="4" t="inlineStr">
        <is>
          <t>数据迁移</t>
        </is>
      </c>
      <c r="C84" s="4" t="inlineStr">
        <is>
          <t>—</t>
        </is>
      </c>
      <c r="D84" s="5" t="inlineStr">
        <is>
          <t>迁移核对与差异处理</t>
        </is>
      </c>
      <c r="E84" s="4" t="inlineStr">
        <is>
          <t>迁移</t>
        </is>
      </c>
      <c r="F84" s="25" t="n"/>
      <c r="G84" s="7" t="n"/>
      <c r="H84" s="5" t="inlineStr"/>
    </row>
    <row r="85" ht="14.5" customHeight="1">
      <c r="A85" s="8" t="inlineStr">
        <is>
          <t>C3</t>
        </is>
      </c>
      <c r="B85" s="8" t="inlineStr">
        <is>
          <t>上线部署</t>
        </is>
      </c>
      <c r="C85" s="8" t="inlineStr">
        <is>
          <t>—</t>
        </is>
      </c>
      <c r="D85" s="9" t="inlineStr">
        <is>
          <t>环境部署与发布</t>
        </is>
      </c>
      <c r="E85" s="8" t="inlineStr">
        <is>
          <t>部署</t>
        </is>
      </c>
      <c r="F85" s="25" t="n"/>
      <c r="G85" s="7" t="n"/>
      <c r="H85" s="9" t="inlineStr"/>
    </row>
    <row r="86" ht="14.5" customHeight="1">
      <c r="A86" s="4" t="inlineStr">
        <is>
          <t>C3</t>
        </is>
      </c>
      <c r="B86" s="4" t="inlineStr">
        <is>
          <t>上线部署</t>
        </is>
      </c>
      <c r="C86" s="4" t="inlineStr">
        <is>
          <t>—</t>
        </is>
      </c>
      <c r="D86" s="5" t="inlineStr">
        <is>
          <t>上线切换与并行期支持</t>
        </is>
      </c>
      <c r="E86" s="4" t="inlineStr">
        <is>
          <t>部署</t>
        </is>
      </c>
      <c r="F86" s="25" t="n"/>
      <c r="G86" s="7" t="n"/>
      <c r="H86" s="5" t="inlineStr"/>
    </row>
    <row r="87" ht="29" customHeight="1">
      <c r="A87" s="8" t="inlineStr">
        <is>
          <t>C3</t>
        </is>
      </c>
      <c r="B87" s="8" t="inlineStr">
        <is>
          <t>上线部署</t>
        </is>
      </c>
      <c r="C87" s="8" t="inlineStr">
        <is>
          <t>—</t>
        </is>
      </c>
      <c r="D87" s="9" t="inlineStr">
        <is>
          <t>线上试运行与并行验证（真实订单并行跑、问题快速响应）</t>
        </is>
      </c>
      <c r="E87" s="8" t="inlineStr">
        <is>
          <t>测试</t>
        </is>
      </c>
      <c r="F87" s="25" t="inlineStr">
        <is>
          <t>建议预留 2~4 周试运行窗口，客户验收后转正式运行</t>
        </is>
      </c>
      <c r="G87" s="10" t="n"/>
      <c r="H87" s="11" t="n"/>
    </row>
    <row r="88" ht="14.5" customHeight="1">
      <c r="A88" s="12" t="n"/>
      <c r="B88" s="12" t="n"/>
      <c r="C88" s="12" t="n"/>
      <c r="D88" s="13" t="inlineStr">
        <is>
          <t>合计（人日）</t>
        </is>
      </c>
      <c r="E88" s="12" t="n"/>
      <c r="F88" s="33">
        <f>SUM(F4:F87)</f>
        <v/>
      </c>
      <c r="G88" s="12" t="n"/>
      <c r="H88" s="12" t="n"/>
    </row>
  </sheetData>
  <autoFilter ref="A3:H88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2026-08-31T09:35:00Z</dcterms:created>
  <dcterms:modified xmlns:dcterms="http://purl.org/dc/terms/" xmlns:xsi="http://www.w3.org/2001/XMLSchema-instance" xsi:type="dcterms:W3CDTF">2026-09-01T06:28:12Z</dcterms:modified>
  <cp:lastModifiedBy>yellow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F182C84FF870478BAACB52F140F489BC_13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